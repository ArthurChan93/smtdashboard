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https://eselhk.sharepoint.com/Shared Documents/c49/c49hkg.cs-common/Monthly Report/"/>
    </mc:Choice>
  </mc:AlternateContent>
  <xr:revisionPtr revIDLastSave="19" documentId="8_{6E8F43A1-5097-43E3-AF0E-2F0406EA079A}" xr6:coauthVersionLast="47" xr6:coauthVersionMax="47" xr10:uidLastSave="{83C80922-0843-4574-B63E-2500C54AA15C}"/>
  <bookViews>
    <workbookView xWindow="0" yWindow="324" windowWidth="21672" windowHeight="12036"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8" r:id="rId5"/>
    <pivotCache cacheId="1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5" i="2" l="1"/>
  <c r="G34" i="2"/>
  <c r="G33" i="2"/>
  <c r="F33" i="2"/>
  <c r="G32" i="2"/>
  <c r="F32" i="2"/>
  <c r="G31" i="2"/>
  <c r="F31" i="2"/>
  <c r="F30" i="2"/>
  <c r="G30" i="2"/>
  <c r="F29" i="2"/>
  <c r="G29"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F21" i="2"/>
  <c r="G21" i="2"/>
  <c r="F22" i="2"/>
  <c r="G22" i="2"/>
  <c r="F23" i="2"/>
  <c r="G23" i="2"/>
  <c r="F24" i="2"/>
  <c r="G24" i="2"/>
  <c r="F25" i="2"/>
  <c r="G25" i="2"/>
  <c r="F26" i="2"/>
  <c r="G26" i="2"/>
  <c r="F27" i="2"/>
  <c r="G27" i="2"/>
  <c r="F28" i="2"/>
  <c r="G28" i="2"/>
  <c r="G2" i="2"/>
  <c r="F2" i="2"/>
</calcChain>
</file>

<file path=xl/sharedStrings.xml><?xml version="1.0" encoding="utf-8"?>
<sst xmlns="http://schemas.openxmlformats.org/spreadsheetml/2006/main" count="219" uniqueCount="86">
  <si>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</si>
  <si>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</si>
  <si>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</si>
  <si>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</si>
  <si>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</si>
  <si>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</si>
  <si>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</si>
  <si>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</si>
  <si>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</si>
  <si>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</si>
  <si>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</si>
  <si>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</si>
  <si>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</si>
  <si>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</si>
  <si>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</si>
  <si>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</si>
  <si>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</si>
  <si>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</si>
  <si>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</si>
  <si>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</si>
  <si>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</si>
  <si>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</si>
  <si>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</si>
  <si>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</si>
  <si>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</si>
  <si>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</si>
  <si>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</si>
  <si>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</si>
  <si>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</si>
  <si>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</si>
  <si>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</si>
  <si>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</si>
  <si>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</si>
  <si>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</si>
  <si>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</si>
  <si>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</si>
  <si>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</si>
  <si>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</si>
  <si>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</si>
  <si>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</si>
  <si>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</si>
  <si>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</si>
  <si>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</si>
  <si>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</si>
  <si>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</si>
  <si>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</si>
  <si>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</si>
  <si>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</si>
  <si>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</si>
  <si>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</si>
  <si>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</si>
  <si>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</si>
  <si>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</si>
  <si>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</si>
  <si>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</si>
  <si>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</si>
  <si>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</si>
  <si>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</si>
  <si>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</si>
  <si>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</si>
  <si>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</si>
  <si>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</si>
  <si>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</si>
  <si>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</si>
  <si>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</si>
  <si>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</si>
  <si>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</si>
  <si>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2022</t>
  </si>
  <si>
    <t>2023</t>
  </si>
  <si>
    <t>2024</t>
  </si>
  <si>
    <t>Total Sum of 进口金额（人民币）</t>
  </si>
  <si>
    <t>Total Sum of 台数</t>
  </si>
  <si>
    <t>Jan</t>
  </si>
  <si>
    <t>Feb</t>
  </si>
  <si>
    <t>Mar</t>
  </si>
  <si>
    <t>Apr</t>
  </si>
  <si>
    <t>May</t>
  </si>
  <si>
    <t>Jun</t>
  </si>
  <si>
    <t>Jul</t>
  </si>
  <si>
    <t>Aug</t>
  </si>
  <si>
    <t>Sep</t>
  </si>
  <si>
    <t>Oct</t>
  </si>
  <si>
    <t>Nov</t>
  </si>
  <si>
    <t>Dec</t>
  </si>
  <si>
    <t>Grand 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</si>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</sst>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2">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xf numFmtId="3" fontId="0" fillId="0" borderId="0" xfId="0" applyNumberFormat="1" applyBorder="1" applyAlignment="1">
      <alignment horizontal="right"/>
    </xf>
    <xf numFmtId="0" fontId="0" fillId="0" borderId="0" xfId="0" applyNumberFormat="1"/>
  </cellXfs>
  <cellStyles count="2">
    <cellStyle name="Comma" xfId="1" builtinId="3"/>
    <cellStyle name="Normal" xfId="0" builtinId="0"/>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EC99EC"/>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u="none" strike="noStrike" kern="1200" spc="0" baseline="0">
                <a:solidFill>
                  <a:srgbClr val="44546A"/>
                </a:solidFill>
              </a:rPr>
              <a:t>China Mounter Import Trend (QTY&amp; CNY Amount)</a:t>
            </a:r>
          </a:p>
        </c:rich>
      </c:tx>
      <c:layout>
        <c:manualLayout>
          <c:xMode val="edge"/>
          <c:yMode val="edge"/>
          <c:x val="0.40572592368261662"/>
          <c:y val="7.649513352416292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rgbClr val="FFC00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00B0F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numCache>
            </c:numRef>
          </c:val>
          <c:extLst>
            <c:ext xmlns:c16="http://schemas.microsoft.com/office/drawing/2014/chart" uri="{C3380CC4-5D6E-409C-BE32-E72D297353CC}">
              <c16:uniqueId val="{00000014-F61D-4471-9484-8B3C41DF043A}"/>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rgbClr val="FFC000"/>
              </a:solidFill>
            </a:ln>
          </c:spPr>
          <c:marker>
            <c:spPr>
              <a:ln>
                <a:solidFill>
                  <a:srgbClr val="FFC000"/>
                </a:solidFill>
              </a:ln>
            </c:spPr>
          </c:marker>
          <c:dLbls>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00B0F0"/>
              </a:solidFill>
            </a:ln>
          </c:spPr>
          <c:marker>
            <c:spPr>
              <a:solidFill>
                <a:srgbClr val="00B0F0"/>
              </a:solidFill>
              <a:ln>
                <a:solidFill>
                  <a:srgbClr val="00B0F0"/>
                </a:solidFill>
              </a:ln>
            </c:spPr>
          </c:marker>
          <c:dLbls>
            <c:dLbl>
              <c:idx val="9"/>
              <c:layout>
                <c:manualLayout>
                  <c:x val="-6.9353126460784361E-4"/>
                  <c:y val="-2.31744680172653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pPr>
              <a:solidFill>
                <a:srgbClr val="92D050"/>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dLbl>
              <c:idx val="9"/>
              <c:layout>
                <c:manualLayout>
                  <c:x val="-2.7741250584314759E-3"/>
                  <c:y val="-2.43941768602792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3E0-48A2-8157-167D32FA8570}"/>
                </c:ext>
              </c:extLst>
            </c:dLbl>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numCache>
            </c:numRef>
          </c:val>
          <c:smooth val="0"/>
          <c:extLst>
            <c:ext xmlns:c16="http://schemas.microsoft.com/office/drawing/2014/chart" uri="{C3380CC4-5D6E-409C-BE32-E72D297353CC}">
              <c16:uniqueId val="{0000001D-F61D-4471-9484-8B3C41DF043A}"/>
            </c:ext>
          </c:extLst>
        </c:ser>
        <c:dLbls>
          <c:showLegendKey val="0"/>
          <c:showVal val="0"/>
          <c:showCatName val="0"/>
          <c:showSerName val="0"/>
          <c:showPercent val="0"/>
          <c:showBubbleSize val="0"/>
        </c:dLbls>
        <c:marker val="1"/>
        <c:smooth val="0"/>
        <c:axId val="83158895"/>
        <c:axId val="277068015"/>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277068015"/>
        <c:scaling>
          <c:orientation val="minMax"/>
        </c:scaling>
        <c:delete val="0"/>
        <c:axPos val="r"/>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58895"/>
        <c:crosses val="max"/>
        <c:crossBetween val="between"/>
      </c:valAx>
      <c:catAx>
        <c:axId val="83158895"/>
        <c:scaling>
          <c:orientation val="minMax"/>
        </c:scaling>
        <c:delete val="1"/>
        <c:axPos val="b"/>
        <c:numFmt formatCode="General" sourceLinked="1"/>
        <c:majorTickMark val="out"/>
        <c:minorTickMark val="none"/>
        <c:tickLblPos val="nextTo"/>
        <c:crossAx val="277068015"/>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24507</xdr:rowOff>
    </xdr:from>
    <xdr:to>
      <xdr:col>12</xdr:col>
      <xdr:colOff>453571</xdr:colOff>
      <xdr:row>58</xdr:row>
      <xdr:rowOff>170610</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618.465720138891"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ntainsNonDate="0" count="5">
        <s v="NORTH"/>
        <s v="EAST"/>
        <s v="WEST"/>
        <s v="SOUTH"/>
        <s v="OTHER"/>
      </sharedItems>
    </cacheField>
    <cacheField name="主要进口省份" numFmtId="14">
      <sharedItems containsNonDate="0"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618.465721527777" createdVersion="8" refreshedVersion="8" minRefreshableVersion="3" recordCount="34" xr:uid="{46C3B069-3CF6-460D-ACAF-0F80FC0BC90A}">
  <cacheSource type="worksheet">
    <worksheetSource name="表1"/>
  </cacheSource>
  <cacheFields count="9">
    <cacheField name="数据年月" numFmtId="14">
      <sharedItems containsSemiMixedTypes="0" containsNonDate="0" containsDate="1" containsString="0" minDate="2022-01-01T00:00:00" maxDate="2024-12-02T00:00:00" count="36">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u="1"/>
        <d v="2024-12-01T00:00:00" u="1"/>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4"/>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4-10-02T00:00:00"/>
        <groupItems count="14">
          <s v="&lt;1/1/2022"/>
          <s v="Jan"/>
          <s v="Feb"/>
          <s v="Mar"/>
          <s v="Apr"/>
          <s v="May"/>
          <s v="Jun"/>
          <s v="Jul"/>
          <s v="Aug"/>
          <s v="Sep"/>
          <s v="Oct"/>
          <s v="Nov"/>
          <s v="Dec"/>
          <s v="&gt;2/10/2024"/>
        </groupItems>
      </fieldGroup>
    </cacheField>
    <cacheField name="Years (数据年月)" numFmtId="0" databaseField="0">
      <fieldGroup base="0">
        <rangePr groupBy="years" startDate="2022-01-01T00:00:00" endDate="2024-10-02T00:00:00"/>
        <groupItems count="5">
          <s v="&lt;1/1/2022"/>
          <s v="2022"/>
          <s v="2023"/>
          <s v="2024"/>
          <s v="&gt;2/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12"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25">
  <location ref="I1:Q16" firstHeaderRow="1" firstDataRow="3" firstDataCol="1"/>
  <pivotFields count="9">
    <pivotField compact="0" numFmtId="14" outline="0"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34"/>
        <item m="1" x="35"/>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6">
        <item x="0"/>
        <item x="1"/>
        <item x="2"/>
        <item x="3"/>
        <item x="4"/>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8">
    <i>
      <x v="1"/>
      <x/>
    </i>
    <i r="1" i="1">
      <x v="1"/>
    </i>
    <i>
      <x v="2"/>
      <x/>
    </i>
    <i r="1" i="1">
      <x v="1"/>
    </i>
    <i>
      <x v="3"/>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22">
    <chartFormat chart="52" format="95" series="1">
      <pivotArea type="data" outline="0" fieldPosition="0">
        <references count="2">
          <reference field="4294967294" count="1" selected="0">
            <x v="0"/>
          </reference>
          <reference field="8" count="1" selected="0">
            <x v="1"/>
          </reference>
        </references>
      </pivotArea>
    </chartFormat>
    <chartFormat chart="52" format="96" series="1">
      <pivotArea type="data" outline="0" fieldPosition="0">
        <references count="2">
          <reference field="4294967294" count="1" selected="0">
            <x v="1"/>
          </reference>
          <reference field="8" count="1" selected="0">
            <x v="1"/>
          </reference>
        </references>
      </pivotArea>
    </chartFormat>
    <chartFormat chart="52" format="97" series="1">
      <pivotArea type="data" outline="0" fieldPosition="0">
        <references count="2">
          <reference field="4294967294" count="1" selected="0">
            <x v="0"/>
          </reference>
          <reference field="8" count="1" selected="0">
            <x v="2"/>
          </reference>
        </references>
      </pivotArea>
    </chartFormat>
    <chartFormat chart="52" format="98" series="1">
      <pivotArea type="data" outline="0" fieldPosition="0">
        <references count="2">
          <reference field="4294967294" count="1" selected="0">
            <x v="1"/>
          </reference>
          <reference field="8" count="1" selected="0">
            <x v="2"/>
          </reference>
        </references>
      </pivotArea>
    </chartFormat>
    <chartFormat chart="52" format="99" series="1">
      <pivotArea type="data" outline="0" fieldPosition="0">
        <references count="2">
          <reference field="4294967294" count="1" selected="0">
            <x v="0"/>
          </reference>
          <reference field="8" count="1" selected="0">
            <x v="3"/>
          </reference>
        </references>
      </pivotArea>
    </chartFormat>
    <chartFormat chart="52" format="100" series="1">
      <pivotArea type="data" outline="0" fieldPosition="0">
        <references count="2">
          <reference field="4294967294" count="1" selected="0">
            <x v="1"/>
          </reference>
          <reference field="8" count="1" selected="0">
            <x v="3"/>
          </reference>
        </references>
      </pivotArea>
    </chartFormat>
    <chartFormat chart="52" format="101">
      <pivotArea type="data" outline="0" fieldPosition="0">
        <references count="3">
          <reference field="4294967294" count="1" selected="0">
            <x v="1"/>
          </reference>
          <reference field="7" count="1" selected="0">
            <x v="10"/>
          </reference>
          <reference field="8" count="1" selected="0">
            <x v="2"/>
          </reference>
        </references>
      </pivotArea>
    </chartFormat>
    <chartFormat chart="123" format="102" series="1">
      <pivotArea type="data" outline="0" fieldPosition="0">
        <references count="2">
          <reference field="4294967294" count="1" selected="0">
            <x v="0"/>
          </reference>
          <reference field="8" count="1" selected="0">
            <x v="1"/>
          </reference>
        </references>
      </pivotArea>
    </chartFormat>
    <chartFormat chart="123" format="103" series="1">
      <pivotArea type="data" outline="0" fieldPosition="0">
        <references count="2">
          <reference field="4294967294" count="1" selected="0">
            <x v="0"/>
          </reference>
          <reference field="8" count="1" selected="0">
            <x v="2"/>
          </reference>
        </references>
      </pivotArea>
    </chartFormat>
    <chartFormat chart="123" format="104" series="1">
      <pivotArea type="data" outline="0" fieldPosition="0">
        <references count="2">
          <reference field="4294967294" count="1" selected="0">
            <x v="0"/>
          </reference>
          <reference field="8" count="1" selected="0">
            <x v="3"/>
          </reference>
        </references>
      </pivotArea>
    </chartFormat>
    <chartFormat chart="123" format="105" series="1">
      <pivotArea type="data" outline="0" fieldPosition="0">
        <references count="2">
          <reference field="4294967294" count="1" selected="0">
            <x v="1"/>
          </reference>
          <reference field="8" count="1" selected="0">
            <x v="1"/>
          </reference>
        </references>
      </pivotArea>
    </chartFormat>
    <chartFormat chart="123" format="106" series="1">
      <pivotArea type="data" outline="0" fieldPosition="0">
        <references count="2">
          <reference field="4294967294" count="1" selected="0">
            <x v="1"/>
          </reference>
          <reference field="8" count="1" selected="0">
            <x v="2"/>
          </reference>
        </references>
      </pivotArea>
    </chartFormat>
    <chartFormat chart="123" format="107">
      <pivotArea type="data" outline="0" fieldPosition="0">
        <references count="3">
          <reference field="4294967294" count="1" selected="0">
            <x v="1"/>
          </reference>
          <reference field="7" count="1" selected="0">
            <x v="10"/>
          </reference>
          <reference field="8" count="1" selected="0">
            <x v="2"/>
          </reference>
        </references>
      </pivotArea>
    </chartFormat>
    <chartFormat chart="123" format="108" series="1">
      <pivotArea type="data" outline="0" fieldPosition="0">
        <references count="2">
          <reference field="4294967294" count="1" selected="0">
            <x v="1"/>
          </reference>
          <reference field="8" count="1" selected="0">
            <x v="3"/>
          </reference>
        </references>
      </pivotArea>
    </chartFormat>
    <chartFormat chart="124" format="109" series="1">
      <pivotArea type="data" outline="0" fieldPosition="0">
        <references count="2">
          <reference field="4294967294" count="1" selected="0">
            <x v="0"/>
          </reference>
          <reference field="8" count="1" selected="0">
            <x v="1"/>
          </reference>
        </references>
      </pivotArea>
    </chartFormat>
    <chartFormat chart="124" format="110" series="1">
      <pivotArea type="data" outline="0" fieldPosition="0">
        <references count="2">
          <reference field="4294967294" count="1" selected="0">
            <x v="0"/>
          </reference>
          <reference field="8" count="1" selected="0">
            <x v="2"/>
          </reference>
        </references>
      </pivotArea>
    </chartFormat>
    <chartFormat chart="124" format="111" series="1">
      <pivotArea type="data" outline="0" fieldPosition="0">
        <references count="2">
          <reference field="4294967294" count="1" selected="0">
            <x v="0"/>
          </reference>
          <reference field="8" count="1" selected="0">
            <x v="3"/>
          </reference>
        </references>
      </pivotArea>
    </chartFormat>
    <chartFormat chart="124" format="112" series="1">
      <pivotArea type="data" outline="0" fieldPosition="0">
        <references count="2">
          <reference field="4294967294" count="1" selected="0">
            <x v="1"/>
          </reference>
          <reference field="8" count="1" selected="0">
            <x v="1"/>
          </reference>
        </references>
      </pivotArea>
    </chartFormat>
    <chartFormat chart="124" format="113" series="1">
      <pivotArea type="data" outline="0" fieldPosition="0">
        <references count="2">
          <reference field="4294967294" count="1" selected="0">
            <x v="1"/>
          </reference>
          <reference field="8" count="1" selected="0">
            <x v="2"/>
          </reference>
        </references>
      </pivotArea>
    </chartFormat>
    <chartFormat chart="124" format="114">
      <pivotArea type="data" outline="0" fieldPosition="0">
        <references count="3">
          <reference field="4294967294" count="1" selected="0">
            <x v="1"/>
          </reference>
          <reference field="7" count="1" selected="0">
            <x v="10"/>
          </reference>
          <reference field="8" count="1" selected="0">
            <x v="2"/>
          </reference>
        </references>
      </pivotArea>
    </chartFormat>
    <chartFormat chart="124" format="115" series="1">
      <pivotArea type="data" outline="0" fieldPosition="0">
        <references count="2">
          <reference field="4294967294" count="1" selected="0">
            <x v="1"/>
          </reference>
          <reference field="8" count="1" selected="0">
            <x v="3"/>
          </reference>
        </references>
      </pivotArea>
    </chartFormat>
    <chartFormat chart="52" format="102">
      <pivotArea type="data" outline="0" fieldPosition="0">
        <references count="3">
          <reference field="4294967294" count="1" selected="0">
            <x v="1"/>
          </reference>
          <reference field="7" count="1" selected="0">
            <x v="1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5" totalsRowShown="0" headerRowDxfId="10" headerRowBorderDxfId="8" tableBorderDxfId="9" totalsRowBorderDxfId="7">
  <autoFilter ref="A1:G35"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
  <sheetViews>
    <sheetView tabSelected="1" topLeftCell="A10" zoomScale="55" zoomScaleNormal="55" workbookViewId="0">
      <selection activeCell="P25" sqref="P25"/>
    </sheetView>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1" ht="15.6">
      <c r="A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S99" sqref="S9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Q35"/>
  <sheetViews>
    <sheetView topLeftCell="A19" zoomScale="120" zoomScaleNormal="120" workbookViewId="0">
      <selection activeCell="G35" sqref="G35"/>
    </sheetView>
  </sheetViews>
  <sheetFormatPr defaultColWidth="9" defaultRowHeight="14.4"/>
  <cols>
    <col min="1" max="3" width="13.44140625" bestFit="1" customWidth="1"/>
    <col min="5" max="5" width="23.5546875" bestFit="1" customWidth="1"/>
    <col min="6" max="7" width="23.5546875" style="27" customWidth="1"/>
    <col min="9" max="9" width="19.77734375" bestFit="1" customWidth="1"/>
    <col min="10" max="15" width="26" bestFit="1" customWidth="1"/>
    <col min="16" max="16" width="30.88671875" bestFit="1" customWidth="1"/>
    <col min="17" max="17" width="16.21875" bestFit="1" customWidth="1"/>
    <col min="18" max="18" width="14.5546875" bestFit="1" customWidth="1"/>
  </cols>
  <sheetData>
    <row r="1" spans="1:17">
      <c r="A1" s="5" t="s">
        <v>1</v>
      </c>
      <c r="B1" s="6" t="s">
        <v>2</v>
      </c>
      <c r="C1" s="6" t="s">
        <v>3</v>
      </c>
      <c r="D1" s="6" t="s">
        <v>11</v>
      </c>
      <c r="E1" s="7" t="s">
        <v>12</v>
      </c>
      <c r="F1" s="25" t="s">
        <v>65</v>
      </c>
      <c r="G1" s="26" t="s">
        <v>66</v>
      </c>
      <c r="J1" s="11" t="s">
        <v>4</v>
      </c>
      <c r="K1" s="11" t="s">
        <v>5</v>
      </c>
    </row>
    <row r="2" spans="1:17">
      <c r="A2" s="14">
        <v>44562</v>
      </c>
      <c r="B2" s="2">
        <v>84798962</v>
      </c>
      <c r="C2" s="1" t="s">
        <v>6</v>
      </c>
      <c r="D2" s="12">
        <v>1273</v>
      </c>
      <c r="E2" s="12">
        <v>1133836205</v>
      </c>
      <c r="F2" s="28">
        <f>YEAR(A2)</f>
        <v>2022</v>
      </c>
      <c r="G2" s="28">
        <f>MONTH(A2)</f>
        <v>1</v>
      </c>
      <c r="J2" t="s">
        <v>67</v>
      </c>
      <c r="L2" t="s">
        <v>68</v>
      </c>
      <c r="N2" t="s">
        <v>69</v>
      </c>
      <c r="P2" t="s">
        <v>70</v>
      </c>
      <c r="Q2" t="s">
        <v>71</v>
      </c>
    </row>
    <row r="3" spans="1:17">
      <c r="A3" s="14">
        <v>44593</v>
      </c>
      <c r="B3" s="2">
        <v>84798962</v>
      </c>
      <c r="C3" s="1" t="s">
        <v>6</v>
      </c>
      <c r="D3" s="12">
        <v>790</v>
      </c>
      <c r="E3" s="12">
        <v>671909522</v>
      </c>
      <c r="F3" s="28">
        <f t="shared" ref="F3:F28" si="0">YEAR(A3)</f>
        <v>2022</v>
      </c>
      <c r="G3" s="28">
        <f t="shared" ref="G3:G28" si="1">MONTH(A3)</f>
        <v>2</v>
      </c>
      <c r="I3" s="11" t="s">
        <v>7</v>
      </c>
      <c r="J3" t="s">
        <v>8</v>
      </c>
      <c r="K3" t="s">
        <v>9</v>
      </c>
      <c r="L3" t="s">
        <v>8</v>
      </c>
      <c r="M3" t="s">
        <v>9</v>
      </c>
      <c r="N3" t="s">
        <v>8</v>
      </c>
      <c r="O3" t="s">
        <v>9</v>
      </c>
    </row>
    <row r="4" spans="1:17">
      <c r="A4" s="14">
        <v>44621</v>
      </c>
      <c r="B4" s="2">
        <v>84798962</v>
      </c>
      <c r="C4" s="1" t="s">
        <v>6</v>
      </c>
      <c r="D4" s="12">
        <v>1680</v>
      </c>
      <c r="E4" s="12">
        <v>1582113796</v>
      </c>
      <c r="F4" s="28">
        <f t="shared" si="0"/>
        <v>2022</v>
      </c>
      <c r="G4" s="28">
        <f t="shared" si="1"/>
        <v>3</v>
      </c>
      <c r="I4" t="s">
        <v>72</v>
      </c>
      <c r="J4" s="3">
        <v>1133836205</v>
      </c>
      <c r="K4" s="3">
        <v>1273</v>
      </c>
      <c r="L4" s="3">
        <v>563858633</v>
      </c>
      <c r="M4" s="3">
        <v>594</v>
      </c>
      <c r="N4" s="3">
        <v>684886046</v>
      </c>
      <c r="O4" s="3">
        <v>796</v>
      </c>
      <c r="P4" s="3">
        <v>2382580884</v>
      </c>
      <c r="Q4" s="3">
        <v>2663</v>
      </c>
    </row>
    <row r="5" spans="1:17">
      <c r="A5" s="14">
        <v>44652</v>
      </c>
      <c r="B5" s="2">
        <v>84798962</v>
      </c>
      <c r="C5" s="1" t="s">
        <v>6</v>
      </c>
      <c r="D5" s="12">
        <v>1346</v>
      </c>
      <c r="E5" s="12">
        <v>1162237598</v>
      </c>
      <c r="F5" s="28">
        <f t="shared" si="0"/>
        <v>2022</v>
      </c>
      <c r="G5" s="28">
        <f t="shared" si="1"/>
        <v>4</v>
      </c>
      <c r="I5" t="s">
        <v>73</v>
      </c>
      <c r="J5" s="3">
        <v>671909522</v>
      </c>
      <c r="K5" s="3">
        <v>790</v>
      </c>
      <c r="L5" s="3">
        <v>626594515</v>
      </c>
      <c r="M5" s="3">
        <v>724</v>
      </c>
      <c r="N5" s="3">
        <v>425456191</v>
      </c>
      <c r="O5" s="3">
        <v>545</v>
      </c>
      <c r="P5" s="3">
        <v>1723960228</v>
      </c>
      <c r="Q5" s="3">
        <v>2059</v>
      </c>
    </row>
    <row r="6" spans="1:17">
      <c r="A6" s="14">
        <v>44682</v>
      </c>
      <c r="B6" s="8">
        <v>84798962</v>
      </c>
      <c r="C6" s="9" t="s">
        <v>6</v>
      </c>
      <c r="D6" s="13">
        <v>1481</v>
      </c>
      <c r="E6" s="13">
        <v>1199261318</v>
      </c>
      <c r="F6" s="28">
        <f t="shared" si="0"/>
        <v>2022</v>
      </c>
      <c r="G6" s="28">
        <f t="shared" si="1"/>
        <v>5</v>
      </c>
      <c r="I6" t="s">
        <v>74</v>
      </c>
      <c r="J6" s="3">
        <v>1582113796</v>
      </c>
      <c r="K6" s="3">
        <v>1680</v>
      </c>
      <c r="L6" s="3">
        <v>902759832</v>
      </c>
      <c r="M6" s="3">
        <v>868</v>
      </c>
      <c r="N6" s="3">
        <v>790478375</v>
      </c>
      <c r="O6" s="3">
        <v>1067</v>
      </c>
      <c r="P6" s="3">
        <v>3275352003</v>
      </c>
      <c r="Q6" s="3">
        <v>3615</v>
      </c>
    </row>
    <row r="7" spans="1:17">
      <c r="A7" s="14">
        <v>44713</v>
      </c>
      <c r="B7" s="8">
        <v>84798962</v>
      </c>
      <c r="C7" s="9" t="s">
        <v>6</v>
      </c>
      <c r="D7" s="13">
        <v>1813</v>
      </c>
      <c r="E7" s="13">
        <v>1507977751</v>
      </c>
      <c r="F7" s="28">
        <f t="shared" si="0"/>
        <v>2022</v>
      </c>
      <c r="G7" s="28">
        <f t="shared" si="1"/>
        <v>6</v>
      </c>
      <c r="I7" t="s">
        <v>75</v>
      </c>
      <c r="J7" s="3">
        <v>1162237598</v>
      </c>
      <c r="K7" s="3">
        <v>1346</v>
      </c>
      <c r="L7" s="3">
        <v>936167828</v>
      </c>
      <c r="M7" s="3">
        <v>1149</v>
      </c>
      <c r="N7" s="3">
        <v>987977571</v>
      </c>
      <c r="O7" s="3">
        <v>1307</v>
      </c>
      <c r="P7" s="3">
        <v>3086382997</v>
      </c>
      <c r="Q7" s="3">
        <v>3802</v>
      </c>
    </row>
    <row r="8" spans="1:17">
      <c r="A8" s="14">
        <v>44743</v>
      </c>
      <c r="B8" s="8">
        <v>84798962</v>
      </c>
      <c r="C8" s="9" t="s">
        <v>6</v>
      </c>
      <c r="D8" s="13">
        <v>1666</v>
      </c>
      <c r="E8" s="13">
        <v>1488653276</v>
      </c>
      <c r="F8" s="28">
        <f t="shared" si="0"/>
        <v>2022</v>
      </c>
      <c r="G8" s="28">
        <f t="shared" si="1"/>
        <v>7</v>
      </c>
      <c r="I8" t="s">
        <v>76</v>
      </c>
      <c r="J8" s="3">
        <v>1199261318</v>
      </c>
      <c r="K8" s="3">
        <v>1481</v>
      </c>
      <c r="L8" s="3">
        <v>784918762</v>
      </c>
      <c r="M8" s="3">
        <v>946</v>
      </c>
      <c r="N8" s="3">
        <v>906749498</v>
      </c>
      <c r="O8" s="3">
        <v>1166</v>
      </c>
      <c r="P8" s="3">
        <v>2890929578</v>
      </c>
      <c r="Q8" s="3">
        <v>3593</v>
      </c>
    </row>
    <row r="9" spans="1:17">
      <c r="A9" s="14">
        <v>44774</v>
      </c>
      <c r="B9" s="8">
        <v>84798962</v>
      </c>
      <c r="C9" s="9" t="s">
        <v>6</v>
      </c>
      <c r="D9" s="13">
        <v>1295</v>
      </c>
      <c r="E9" s="13">
        <v>1172752758</v>
      </c>
      <c r="F9" s="28">
        <f t="shared" si="0"/>
        <v>2022</v>
      </c>
      <c r="G9" s="28">
        <f t="shared" si="1"/>
        <v>8</v>
      </c>
      <c r="I9" t="s">
        <v>77</v>
      </c>
      <c r="J9" s="3">
        <v>1507977751</v>
      </c>
      <c r="K9" s="3">
        <v>1813</v>
      </c>
      <c r="L9" s="3">
        <v>990018684</v>
      </c>
      <c r="M9" s="3">
        <v>1029</v>
      </c>
      <c r="N9" s="3">
        <v>1060059842</v>
      </c>
      <c r="O9" s="3">
        <v>1241</v>
      </c>
      <c r="P9" s="3">
        <v>3558056277</v>
      </c>
      <c r="Q9" s="3">
        <v>4083</v>
      </c>
    </row>
    <row r="10" spans="1:17">
      <c r="A10" s="14">
        <v>44805</v>
      </c>
      <c r="B10" s="2">
        <v>84798962</v>
      </c>
      <c r="C10" s="1" t="s">
        <v>6</v>
      </c>
      <c r="D10" s="12">
        <v>1185</v>
      </c>
      <c r="E10" s="12">
        <v>1005090594</v>
      </c>
      <c r="F10" s="28">
        <f t="shared" si="0"/>
        <v>2022</v>
      </c>
      <c r="G10" s="28">
        <f t="shared" si="1"/>
        <v>9</v>
      </c>
      <c r="I10" t="s">
        <v>78</v>
      </c>
      <c r="J10" s="3">
        <v>1488653276</v>
      </c>
      <c r="K10" s="3">
        <v>1666</v>
      </c>
      <c r="L10" s="3">
        <v>753315739</v>
      </c>
      <c r="M10" s="3">
        <v>1075</v>
      </c>
      <c r="N10" s="3">
        <v>1067909971</v>
      </c>
      <c r="O10" s="3">
        <v>1522</v>
      </c>
      <c r="P10" s="3">
        <v>3309878986</v>
      </c>
      <c r="Q10" s="3">
        <v>4263</v>
      </c>
    </row>
    <row r="11" spans="1:17">
      <c r="A11" s="14">
        <v>44835</v>
      </c>
      <c r="B11" s="8">
        <v>84798962</v>
      </c>
      <c r="C11" s="9" t="s">
        <v>6</v>
      </c>
      <c r="D11" s="13">
        <v>983</v>
      </c>
      <c r="E11" s="13">
        <v>810326436</v>
      </c>
      <c r="F11" s="28">
        <f t="shared" si="0"/>
        <v>2022</v>
      </c>
      <c r="G11" s="28">
        <f t="shared" si="1"/>
        <v>10</v>
      </c>
      <c r="I11" t="s">
        <v>79</v>
      </c>
      <c r="J11" s="3">
        <v>1172752758</v>
      </c>
      <c r="K11" s="3">
        <v>1295</v>
      </c>
      <c r="L11" s="3">
        <v>725578936</v>
      </c>
      <c r="M11" s="3">
        <v>908</v>
      </c>
      <c r="N11" s="3">
        <v>798223277</v>
      </c>
      <c r="O11" s="3">
        <v>1061</v>
      </c>
      <c r="P11" s="3">
        <v>2696554971</v>
      </c>
      <c r="Q11" s="3">
        <v>3264</v>
      </c>
    </row>
    <row r="12" spans="1:17">
      <c r="A12" s="14">
        <v>44866</v>
      </c>
      <c r="B12" s="8">
        <v>84798962</v>
      </c>
      <c r="C12" s="1" t="s">
        <v>6</v>
      </c>
      <c r="D12" s="12">
        <v>996</v>
      </c>
      <c r="E12" s="12">
        <v>790435167</v>
      </c>
      <c r="F12" s="28">
        <f t="shared" si="0"/>
        <v>2022</v>
      </c>
      <c r="G12" s="28">
        <f t="shared" si="1"/>
        <v>11</v>
      </c>
      <c r="I12" t="s">
        <v>80</v>
      </c>
      <c r="J12" s="3">
        <v>1005090594</v>
      </c>
      <c r="K12" s="3">
        <v>1185</v>
      </c>
      <c r="L12" s="3">
        <v>603898236</v>
      </c>
      <c r="M12" s="3">
        <v>866</v>
      </c>
      <c r="N12" s="3">
        <v>815497182</v>
      </c>
      <c r="O12" s="3">
        <v>1130</v>
      </c>
      <c r="P12" s="3">
        <v>2424486012</v>
      </c>
      <c r="Q12" s="3">
        <v>3181</v>
      </c>
    </row>
    <row r="13" spans="1:17">
      <c r="A13" s="14">
        <v>44896</v>
      </c>
      <c r="B13" s="8">
        <v>84798962</v>
      </c>
      <c r="C13" s="1" t="s">
        <v>6</v>
      </c>
      <c r="D13" s="12">
        <v>937</v>
      </c>
      <c r="E13" s="12">
        <v>947867895</v>
      </c>
      <c r="F13" s="28">
        <f t="shared" si="0"/>
        <v>2022</v>
      </c>
      <c r="G13" s="28">
        <f t="shared" si="1"/>
        <v>12</v>
      </c>
      <c r="I13" t="s">
        <v>81</v>
      </c>
      <c r="J13" s="3">
        <v>810326436</v>
      </c>
      <c r="K13" s="3">
        <v>983</v>
      </c>
      <c r="L13" s="3">
        <v>691942839</v>
      </c>
      <c r="M13" s="3">
        <v>985</v>
      </c>
      <c r="N13" s="3">
        <v>858639426</v>
      </c>
      <c r="O13" s="3">
        <v>1092</v>
      </c>
      <c r="P13" s="3">
        <v>2360908701</v>
      </c>
      <c r="Q13" s="3">
        <v>3060</v>
      </c>
    </row>
    <row r="14" spans="1:17">
      <c r="A14" s="14">
        <v>44927</v>
      </c>
      <c r="B14" s="8">
        <v>84798962</v>
      </c>
      <c r="C14" s="1" t="s">
        <v>6</v>
      </c>
      <c r="D14" s="12">
        <v>594</v>
      </c>
      <c r="E14" s="4">
        <v>563858633</v>
      </c>
      <c r="F14" s="28">
        <f t="shared" si="0"/>
        <v>2023</v>
      </c>
      <c r="G14" s="28">
        <f t="shared" si="1"/>
        <v>1</v>
      </c>
      <c r="I14" t="s">
        <v>82</v>
      </c>
      <c r="J14" s="3">
        <v>790435167</v>
      </c>
      <c r="K14" s="3">
        <v>996</v>
      </c>
      <c r="L14" s="3">
        <v>601932850</v>
      </c>
      <c r="M14" s="3">
        <v>700</v>
      </c>
      <c r="N14" s="3"/>
      <c r="O14" s="3"/>
      <c r="P14" s="3">
        <v>1392368017</v>
      </c>
      <c r="Q14" s="3">
        <v>1696</v>
      </c>
    </row>
    <row r="15" spans="1:17">
      <c r="A15" s="14">
        <v>44958</v>
      </c>
      <c r="B15" s="2">
        <v>84798962</v>
      </c>
      <c r="C15" s="1" t="s">
        <v>6</v>
      </c>
      <c r="D15" s="12">
        <v>724</v>
      </c>
      <c r="E15" s="4">
        <v>626594515</v>
      </c>
      <c r="F15" s="28">
        <f t="shared" si="0"/>
        <v>2023</v>
      </c>
      <c r="G15" s="28">
        <f t="shared" si="1"/>
        <v>2</v>
      </c>
      <c r="I15" t="s">
        <v>83</v>
      </c>
      <c r="J15" s="3">
        <v>947867895</v>
      </c>
      <c r="K15" s="3">
        <v>937</v>
      </c>
      <c r="L15" s="3">
        <v>848704871</v>
      </c>
      <c r="M15" s="3">
        <v>1017</v>
      </c>
      <c r="N15" s="3"/>
      <c r="O15" s="3"/>
      <c r="P15" s="3">
        <v>1796572766</v>
      </c>
      <c r="Q15" s="3">
        <v>1954</v>
      </c>
    </row>
    <row r="16" spans="1:17">
      <c r="A16" s="14">
        <v>44986</v>
      </c>
      <c r="B16" s="2">
        <v>84798962</v>
      </c>
      <c r="C16" s="1" t="s">
        <v>6</v>
      </c>
      <c r="D16" s="12">
        <v>868</v>
      </c>
      <c r="E16" s="4">
        <v>902759832</v>
      </c>
      <c r="F16" s="28">
        <f t="shared" si="0"/>
        <v>2023</v>
      </c>
      <c r="G16" s="28">
        <f t="shared" si="1"/>
        <v>3</v>
      </c>
      <c r="I16" t="s">
        <v>84</v>
      </c>
      <c r="J16" s="3">
        <v>13472462316</v>
      </c>
      <c r="K16" s="3">
        <v>15445</v>
      </c>
      <c r="L16" s="3">
        <v>9029691725</v>
      </c>
      <c r="M16" s="3">
        <v>10861</v>
      </c>
      <c r="N16" s="3">
        <v>8395877379</v>
      </c>
      <c r="O16" s="3">
        <v>10927</v>
      </c>
      <c r="P16" s="3">
        <v>30898031420</v>
      </c>
      <c r="Q16" s="3">
        <v>37233</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9">
        <f>YEAR(A29)</f>
        <v>2024</v>
      </c>
      <c r="G29" s="29">
        <f t="shared" ref="G29:G34" si="2">MONTH(A29)</f>
        <v>4</v>
      </c>
    </row>
    <row r="30" spans="1:7">
      <c r="A30" s="14">
        <v>45413</v>
      </c>
      <c r="B30" s="8">
        <v>84798962</v>
      </c>
      <c r="C30" s="9" t="s">
        <v>13</v>
      </c>
      <c r="D30" s="17">
        <v>1166</v>
      </c>
      <c r="E30" s="10">
        <v>906749498</v>
      </c>
      <c r="F30" s="29">
        <f>YEAR(A30)</f>
        <v>2024</v>
      </c>
      <c r="G30" s="29">
        <f t="shared" si="2"/>
        <v>5</v>
      </c>
    </row>
    <row r="31" spans="1:7">
      <c r="A31" s="14">
        <v>45444</v>
      </c>
      <c r="B31" s="8">
        <v>84798962</v>
      </c>
      <c r="C31" s="9" t="s">
        <v>13</v>
      </c>
      <c r="D31" s="17">
        <v>1241</v>
      </c>
      <c r="E31" s="10">
        <v>1060059842</v>
      </c>
      <c r="F31" s="29">
        <f>YEAR(A31)</f>
        <v>2024</v>
      </c>
      <c r="G31" s="29">
        <f t="shared" si="2"/>
        <v>6</v>
      </c>
    </row>
    <row r="32" spans="1:7">
      <c r="A32" s="14">
        <v>45474</v>
      </c>
      <c r="B32" s="8">
        <v>84798962</v>
      </c>
      <c r="C32" s="9" t="s">
        <v>13</v>
      </c>
      <c r="D32" s="17">
        <v>1522</v>
      </c>
      <c r="E32" s="10">
        <v>1067909971</v>
      </c>
      <c r="F32" s="29">
        <f>YEAR(A32)</f>
        <v>2024</v>
      </c>
      <c r="G32" s="29">
        <f t="shared" si="2"/>
        <v>7</v>
      </c>
    </row>
    <row r="33" spans="1:7">
      <c r="A33" s="14">
        <v>45505</v>
      </c>
      <c r="B33" s="8">
        <v>84798962</v>
      </c>
      <c r="C33" s="9" t="s">
        <v>13</v>
      </c>
      <c r="D33" s="17">
        <v>1061</v>
      </c>
      <c r="E33" s="10">
        <v>798223277</v>
      </c>
      <c r="F33" s="29">
        <f>YEAR(A33)</f>
        <v>2024</v>
      </c>
      <c r="G33" s="29">
        <f t="shared" si="2"/>
        <v>8</v>
      </c>
    </row>
    <row r="34" spans="1:7">
      <c r="A34" s="14">
        <v>45536</v>
      </c>
      <c r="B34" s="8">
        <v>84798962</v>
      </c>
      <c r="C34" s="9" t="s">
        <v>13</v>
      </c>
      <c r="D34" s="17">
        <v>1130</v>
      </c>
      <c r="E34" s="10">
        <v>815497182</v>
      </c>
      <c r="F34" s="29">
        <v>2024</v>
      </c>
      <c r="G34" s="29">
        <f t="shared" si="2"/>
        <v>9</v>
      </c>
    </row>
    <row r="35" spans="1:7">
      <c r="A35" s="14">
        <v>45566</v>
      </c>
      <c r="B35" s="8">
        <v>84798962</v>
      </c>
      <c r="C35" s="9" t="s">
        <v>13</v>
      </c>
      <c r="D35" s="17">
        <v>1092</v>
      </c>
      <c r="E35" s="10">
        <v>858639426</v>
      </c>
      <c r="F35" s="30">
        <v>2024</v>
      </c>
      <c r="G35" s="30">
        <f t="shared" ref="G35" si="3">MONTH(A35)</f>
        <v>10</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7.21875" bestFit="1" customWidth="1"/>
    <col min="9" max="9" width="6" bestFit="1" customWidth="1"/>
    <col min="10" max="13" width="7.21875" bestFit="1" customWidth="1"/>
    <col min="14" max="14" width="10.77734375" bestFit="1" customWidth="1"/>
    <col min="16" max="16" width="18" bestFit="1" customWidth="1"/>
    <col min="17" max="17" width="12.109375" bestFit="1" customWidth="1"/>
    <col min="18" max="31" width="17.21875" bestFit="1" customWidth="1"/>
    <col min="32" max="32" width="10.7773437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84</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84</v>
      </c>
    </row>
    <row r="4" spans="1:32">
      <c r="A4" s="22">
        <v>2023</v>
      </c>
      <c r="B4" s="23" t="s">
        <v>48</v>
      </c>
      <c r="C4" s="23" t="s">
        <v>23</v>
      </c>
      <c r="D4" t="s">
        <v>52</v>
      </c>
      <c r="E4">
        <v>1987</v>
      </c>
      <c r="G4" s="21">
        <v>2022</v>
      </c>
      <c r="H4" t="s">
        <v>51</v>
      </c>
      <c r="I4" s="31">
        <v>7943</v>
      </c>
      <c r="J4" s="31">
        <v>5675</v>
      </c>
      <c r="K4" s="31">
        <v>166</v>
      </c>
      <c r="L4" s="31">
        <v>260</v>
      </c>
      <c r="M4" s="31">
        <v>1403</v>
      </c>
      <c r="N4" s="31">
        <v>15447</v>
      </c>
      <c r="P4" s="21">
        <v>2022</v>
      </c>
      <c r="Q4" t="s">
        <v>51</v>
      </c>
      <c r="R4" s="31">
        <v>7943</v>
      </c>
      <c r="S4" s="31">
        <v>2896</v>
      </c>
      <c r="T4" s="31">
        <v>1732</v>
      </c>
      <c r="U4" s="31">
        <v>1403</v>
      </c>
      <c r="V4" s="31">
        <v>376</v>
      </c>
      <c r="W4" s="31"/>
      <c r="X4" s="31">
        <v>301</v>
      </c>
      <c r="Y4" s="31">
        <v>159</v>
      </c>
      <c r="Z4" s="31">
        <v>153</v>
      </c>
      <c r="AA4" s="31">
        <v>129</v>
      </c>
      <c r="AB4" s="31">
        <v>82</v>
      </c>
      <c r="AC4" s="31">
        <v>121</v>
      </c>
      <c r="AD4" s="31">
        <v>107</v>
      </c>
      <c r="AE4" s="31">
        <v>45</v>
      </c>
      <c r="AF4" s="31">
        <v>15447</v>
      </c>
    </row>
    <row r="5" spans="1:32">
      <c r="A5" s="22">
        <v>2023</v>
      </c>
      <c r="B5" s="23" t="s">
        <v>48</v>
      </c>
      <c r="C5" s="23" t="s">
        <v>25</v>
      </c>
      <c r="D5" t="s">
        <v>52</v>
      </c>
      <c r="E5">
        <v>1147</v>
      </c>
      <c r="G5" s="21">
        <v>2023</v>
      </c>
      <c r="H5" t="s">
        <v>51</v>
      </c>
      <c r="I5" s="31">
        <v>6279</v>
      </c>
      <c r="J5" s="31">
        <v>3806</v>
      </c>
      <c r="K5" s="31">
        <v>53</v>
      </c>
      <c r="L5" s="31">
        <v>198</v>
      </c>
      <c r="M5" s="31">
        <v>524</v>
      </c>
      <c r="N5" s="31">
        <v>10860</v>
      </c>
      <c r="P5" s="21">
        <v>2023</v>
      </c>
      <c r="Q5" t="s">
        <v>51</v>
      </c>
      <c r="R5" s="31">
        <v>6279</v>
      </c>
      <c r="S5" s="31">
        <v>1987</v>
      </c>
      <c r="T5" s="31">
        <v>1147</v>
      </c>
      <c r="U5" s="31"/>
      <c r="V5" s="31">
        <v>150</v>
      </c>
      <c r="W5" s="31">
        <v>524</v>
      </c>
      <c r="X5" s="31">
        <v>86</v>
      </c>
      <c r="Y5" s="31">
        <v>198</v>
      </c>
      <c r="Z5" s="31">
        <v>154</v>
      </c>
      <c r="AA5" s="31">
        <v>96</v>
      </c>
      <c r="AB5" s="31">
        <v>142</v>
      </c>
      <c r="AC5" s="31">
        <v>45</v>
      </c>
      <c r="AD5" s="31">
        <v>44</v>
      </c>
      <c r="AE5" s="31">
        <v>8</v>
      </c>
      <c r="AF5" s="31">
        <v>10860</v>
      </c>
    </row>
    <row r="6" spans="1:32">
      <c r="A6" s="22">
        <v>2023</v>
      </c>
      <c r="B6" s="23" t="s">
        <v>48</v>
      </c>
      <c r="C6" s="23" t="s">
        <v>27</v>
      </c>
      <c r="D6" t="s">
        <v>52</v>
      </c>
      <c r="E6">
        <v>150</v>
      </c>
      <c r="G6" s="21" t="s">
        <v>84</v>
      </c>
      <c r="I6" s="31">
        <v>14222</v>
      </c>
      <c r="J6" s="31">
        <v>9481</v>
      </c>
      <c r="K6" s="31">
        <v>219</v>
      </c>
      <c r="L6" s="31">
        <v>458</v>
      </c>
      <c r="M6" s="31">
        <v>1927</v>
      </c>
      <c r="N6" s="31">
        <v>26307</v>
      </c>
      <c r="P6" s="21" t="s">
        <v>84</v>
      </c>
      <c r="R6" s="31">
        <v>14222</v>
      </c>
      <c r="S6" s="31">
        <v>4883</v>
      </c>
      <c r="T6" s="31">
        <v>2879</v>
      </c>
      <c r="U6" s="31">
        <v>1403</v>
      </c>
      <c r="V6" s="31">
        <v>526</v>
      </c>
      <c r="W6" s="31">
        <v>524</v>
      </c>
      <c r="X6" s="31">
        <v>387</v>
      </c>
      <c r="Y6" s="31">
        <v>357</v>
      </c>
      <c r="Z6" s="31">
        <v>307</v>
      </c>
      <c r="AA6" s="31">
        <v>225</v>
      </c>
      <c r="AB6" s="31">
        <v>224</v>
      </c>
      <c r="AC6" s="31">
        <v>166</v>
      </c>
      <c r="AD6" s="31">
        <v>151</v>
      </c>
      <c r="AE6" s="31">
        <v>53</v>
      </c>
      <c r="AF6" s="31">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85</v>
      </c>
      <c r="P11" s="11" t="s">
        <v>14</v>
      </c>
      <c r="Q11" s="11" t="s">
        <v>56</v>
      </c>
      <c r="R11" t="s">
        <v>85</v>
      </c>
    </row>
    <row r="12" spans="1:32">
      <c r="A12" s="22">
        <v>2023</v>
      </c>
      <c r="B12" s="23" t="s">
        <v>46</v>
      </c>
      <c r="C12" s="23" t="s">
        <v>39</v>
      </c>
      <c r="D12" t="s">
        <v>52</v>
      </c>
      <c r="E12">
        <v>154</v>
      </c>
      <c r="G12" s="21">
        <v>2023</v>
      </c>
      <c r="H12" t="s">
        <v>43</v>
      </c>
      <c r="I12" s="31">
        <v>6279</v>
      </c>
      <c r="P12" s="21">
        <v>2023</v>
      </c>
      <c r="Q12" t="s">
        <v>40</v>
      </c>
      <c r="R12" s="31">
        <v>6279</v>
      </c>
    </row>
    <row r="13" spans="1:32">
      <c r="A13" s="22">
        <v>2023</v>
      </c>
      <c r="B13" s="23" t="s">
        <v>44</v>
      </c>
      <c r="C13" s="23" t="s">
        <v>41</v>
      </c>
      <c r="D13" t="s">
        <v>52</v>
      </c>
      <c r="E13">
        <v>6279</v>
      </c>
      <c r="H13" t="s">
        <v>47</v>
      </c>
      <c r="I13" s="31">
        <v>3806</v>
      </c>
      <c r="Q13" t="s">
        <v>22</v>
      </c>
      <c r="R13" s="31">
        <v>1987</v>
      </c>
    </row>
    <row r="14" spans="1:32">
      <c r="A14" s="22">
        <v>2023</v>
      </c>
      <c r="B14" s="23" t="s">
        <v>54</v>
      </c>
      <c r="C14" s="23" t="s">
        <v>64</v>
      </c>
      <c r="D14" t="s">
        <v>52</v>
      </c>
      <c r="E14">
        <v>524</v>
      </c>
      <c r="H14" t="s">
        <v>49</v>
      </c>
      <c r="I14" s="31">
        <v>53</v>
      </c>
      <c r="Q14" t="s">
        <v>24</v>
      </c>
      <c r="R14" s="31">
        <v>1147</v>
      </c>
    </row>
    <row r="15" spans="1:32">
      <c r="A15" s="22">
        <v>2022</v>
      </c>
      <c r="B15" s="23" t="s">
        <v>50</v>
      </c>
      <c r="C15" s="23" t="s">
        <v>19</v>
      </c>
      <c r="D15" t="s">
        <v>52</v>
      </c>
      <c r="E15">
        <v>121</v>
      </c>
      <c r="H15" t="s">
        <v>45</v>
      </c>
      <c r="I15" s="31">
        <v>198</v>
      </c>
      <c r="Q15" t="s">
        <v>64</v>
      </c>
      <c r="R15" s="31">
        <v>524</v>
      </c>
    </row>
    <row r="16" spans="1:32">
      <c r="A16" s="22">
        <v>2022</v>
      </c>
      <c r="B16" s="23" t="s">
        <v>50</v>
      </c>
      <c r="C16" s="23" t="s">
        <v>21</v>
      </c>
      <c r="D16" t="s">
        <v>52</v>
      </c>
      <c r="E16">
        <v>45</v>
      </c>
      <c r="H16" t="s">
        <v>53</v>
      </c>
      <c r="I16" s="31">
        <v>524</v>
      </c>
      <c r="Q16" t="s">
        <v>30</v>
      </c>
      <c r="R16" s="31">
        <v>198</v>
      </c>
    </row>
    <row r="17" spans="1:18">
      <c r="A17" s="22">
        <v>2022</v>
      </c>
      <c r="B17" s="23" t="s">
        <v>48</v>
      </c>
      <c r="C17" s="23" t="s">
        <v>23</v>
      </c>
      <c r="D17" t="s">
        <v>52</v>
      </c>
      <c r="E17">
        <v>2896</v>
      </c>
      <c r="G17" s="21" t="s">
        <v>84</v>
      </c>
      <c r="I17" s="31">
        <v>10860</v>
      </c>
      <c r="Q17" t="s">
        <v>38</v>
      </c>
      <c r="R17" s="31">
        <v>154</v>
      </c>
    </row>
    <row r="18" spans="1:18">
      <c r="A18" s="22">
        <v>2022</v>
      </c>
      <c r="B18" s="23" t="s">
        <v>48</v>
      </c>
      <c r="C18" s="23" t="s">
        <v>25</v>
      </c>
      <c r="D18" t="s">
        <v>52</v>
      </c>
      <c r="E18">
        <v>1732</v>
      </c>
      <c r="Q18" t="s">
        <v>26</v>
      </c>
      <c r="R18" s="31">
        <v>150</v>
      </c>
    </row>
    <row r="19" spans="1:18">
      <c r="A19" s="22">
        <v>2022</v>
      </c>
      <c r="B19" s="23" t="s">
        <v>48</v>
      </c>
      <c r="C19" s="23" t="s">
        <v>27</v>
      </c>
      <c r="D19" t="s">
        <v>52</v>
      </c>
      <c r="E19">
        <v>376</v>
      </c>
      <c r="Q19" t="s">
        <v>28</v>
      </c>
      <c r="R19" s="31">
        <v>142</v>
      </c>
    </row>
    <row r="20" spans="1:18">
      <c r="A20" s="22">
        <v>2022</v>
      </c>
      <c r="B20" s="23" t="s">
        <v>48</v>
      </c>
      <c r="C20" s="23" t="s">
        <v>29</v>
      </c>
      <c r="D20" t="s">
        <v>52</v>
      </c>
      <c r="E20">
        <v>82</v>
      </c>
      <c r="Q20" t="s">
        <v>32</v>
      </c>
      <c r="R20" s="31">
        <v>96</v>
      </c>
    </row>
    <row r="21" spans="1:18">
      <c r="A21" s="22">
        <v>2022</v>
      </c>
      <c r="B21" s="23" t="s">
        <v>48</v>
      </c>
      <c r="C21" s="23" t="s">
        <v>31</v>
      </c>
      <c r="D21" t="s">
        <v>52</v>
      </c>
      <c r="E21">
        <v>159</v>
      </c>
      <c r="Q21" t="s">
        <v>34</v>
      </c>
      <c r="R21" s="31">
        <v>86</v>
      </c>
    </row>
    <row r="22" spans="1:18">
      <c r="A22" s="22">
        <v>2022</v>
      </c>
      <c r="B22" s="23" t="s">
        <v>48</v>
      </c>
      <c r="C22" s="23" t="s">
        <v>33</v>
      </c>
      <c r="D22" t="s">
        <v>52</v>
      </c>
      <c r="E22">
        <v>129</v>
      </c>
      <c r="Q22" t="s">
        <v>18</v>
      </c>
      <c r="R22" s="31">
        <v>45</v>
      </c>
    </row>
    <row r="23" spans="1:18">
      <c r="A23" s="22">
        <v>2022</v>
      </c>
      <c r="B23" s="23" t="s">
        <v>48</v>
      </c>
      <c r="C23" s="23" t="s">
        <v>35</v>
      </c>
      <c r="D23" t="s">
        <v>52</v>
      </c>
      <c r="E23">
        <v>301</v>
      </c>
      <c r="Q23" t="s">
        <v>36</v>
      </c>
      <c r="R23" s="31">
        <v>44</v>
      </c>
    </row>
    <row r="24" spans="1:18">
      <c r="A24" s="22">
        <v>2022</v>
      </c>
      <c r="B24" s="23" t="s">
        <v>46</v>
      </c>
      <c r="C24" s="23" t="s">
        <v>37</v>
      </c>
      <c r="D24" t="s">
        <v>52</v>
      </c>
      <c r="E24">
        <v>107</v>
      </c>
      <c r="Q24" t="s">
        <v>20</v>
      </c>
      <c r="R24" s="31">
        <v>8</v>
      </c>
    </row>
    <row r="25" spans="1:18">
      <c r="A25" s="22">
        <v>2022</v>
      </c>
      <c r="B25" s="23" t="s">
        <v>46</v>
      </c>
      <c r="C25" s="23" t="s">
        <v>39</v>
      </c>
      <c r="D25" t="s">
        <v>52</v>
      </c>
      <c r="E25">
        <v>153</v>
      </c>
      <c r="P25" s="21" t="s">
        <v>84</v>
      </c>
      <c r="R25" s="31">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2.xml><?xml version="1.0" encoding="utf-8"?>
<ds:datastoreItem xmlns:ds="http://schemas.openxmlformats.org/officeDocument/2006/customXml" ds:itemID="{BC281514-C9C5-4709-81CC-9AFF927FE8B7}">
  <ds:schemaRefs>
    <ds:schemaRef ds:uri="http://purl.org/dc/dcmitype/"/>
    <ds:schemaRef ds:uri="http://purl.org/dc/terms/"/>
    <ds:schemaRef ds:uri="http://purl.org/dc/elements/1.1/"/>
    <ds:schemaRef ds:uri="http://schemas.openxmlformats.org/package/2006/metadata/core-properties"/>
    <ds:schemaRef ds:uri="http://schemas.microsoft.com/office/2006/documentManagement/types"/>
    <ds:schemaRef ds:uri="http://www.w3.org/XML/1998/namespace"/>
    <ds:schemaRef ds:uri="dcec4b07-66e7-4e8f-b2bb-0bd07e3b5177"/>
    <ds:schemaRef ds:uri="http://schemas.microsoft.com/office/infopath/2007/PartnerControls"/>
    <ds:schemaRef ds:uri="efa1766b-290e-4930-94b4-5079da17b09c"/>
    <ds:schemaRef ds:uri="http://schemas.microsoft.com/office/2006/metadata/propertie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2024-11-22T03:15:07Z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