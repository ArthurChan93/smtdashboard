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https://eselhk.sharepoint.com/Shared Documents/c49/c49hkg.cs-common/Monthly Report/"/>
    </mc:Choice>
  </mc:AlternateContent>
  <xr:revisionPtr revIDLastSave="279" documentId="8_{6E8F43A1-5097-43E3-AF0E-2F0406EA079A}" xr6:coauthVersionLast="47" xr6:coauthVersionMax="47" xr10:uidLastSave="{7EF3DA48-2F2F-4360-BADB-BA6D364CF4B9}"/>
  <bookViews>
    <workbookView xWindow="2976" yWindow="444" windowWidth="19356" windowHeight="10860" xr2:uid="{00000000-000D-0000-FFFF-FFFF00000000}"/>
  </bookViews>
  <sheets>
    <sheet name="Mounter_全国年度进口图" sheetId="1" r:id="rId1"/>
    <sheet name="Mounter_地区年度进口图" sheetId="5" r:id="rId2"/>
    <sheet name="raw data" sheetId="2" state="hidden" r:id="rId3"/>
    <sheet name="raw data_Region" sheetId="3" state="hidden" r:id="rId4"/>
  </sheets>
  <definedNames>
    <definedName name="Slicer_数据年">#N/A</definedName>
    <definedName name="Slicer_数据年1">#N/A</definedName>
  </definedNames>
  <calcPr calcId="191028"/>
  <pivotCaches>
    <pivotCache cacheId="63" r:id="rId5"/>
    <pivotCache cacheId="75"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9" i="2" l="1"/>
  <c r="F39" i="2"/>
  <c r="G32" i="2"/>
  <c r="G33" i="2"/>
  <c r="G34" i="2"/>
  <c r="G35" i="2"/>
  <c r="G36" i="2"/>
  <c r="G37" i="2"/>
  <c r="G38"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G31" i="2"/>
  <c r="G30" i="2"/>
  <c r="G29" i="2"/>
  <c r="G3" i="2"/>
  <c r="G4" i="2"/>
  <c r="G5" i="2"/>
  <c r="G6" i="2"/>
  <c r="G7" i="2"/>
  <c r="G8" i="2"/>
  <c r="G9" i="2"/>
  <c r="G10" i="2"/>
  <c r="G11" i="2"/>
  <c r="G12" i="2"/>
  <c r="G13" i="2"/>
  <c r="G14" i="2"/>
  <c r="G15" i="2"/>
  <c r="G16" i="2"/>
  <c r="G17" i="2"/>
  <c r="G18" i="2"/>
  <c r="G19" i="2"/>
  <c r="G20" i="2"/>
  <c r="G21" i="2"/>
  <c r="G22" i="2"/>
  <c r="G23" i="2"/>
  <c r="G24" i="2"/>
  <c r="G25" i="2"/>
  <c r="G26" i="2"/>
  <c r="G27" i="2"/>
  <c r="G28" i="2"/>
  <c r="G2" i="2"/>
  <c r="F2" i="2"/>
</calcChain>
</file>

<file path=xl/sharedStrings.xml><?xml version="1.0" encoding="utf-8"?>
<sst xmlns="http://schemas.openxmlformats.org/spreadsheetml/2006/main" count="226" uniqueCount="87">
  <si>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</si>
  <si>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</si>
  <si>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</si>
  <si>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</si>
  <si>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</si>
  <si>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</si>
  <si>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</si>
  <si>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</si>
  <si>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</si>
  <si>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</si>
  <si>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</si>
  <si>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</si>
  <si>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</si>
  <si>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</si>
  <si>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</si>
  <si>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</si>
  <si>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</si>
  <si>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</si>
  <si>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</si>
  <si>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</si>
  <si>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</si>
  <si>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</si>
  <si>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</si>
  <si>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</si>
  <si>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</si>
  <si>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</si>
  <si>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</si>
  <si>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</si>
  <si>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</si>
  <si>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</si>
  <si>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</si>
  <si>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</si>
  <si>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</si>
  <si>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</si>
  <si>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</si>
  <si>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</si>
  <si>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</si>
  <si>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</si>
  <si>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</si>
  <si>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</si>
  <si>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</si>
  <si>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</si>
  <si>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</si>
  <si>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</si>
  <si>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</si>
  <si>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</si>
  <si>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</si>
  <si>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</si>
  <si>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</si>
  <si>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</si>
  <si>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</si>
  <si>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</si>
  <si>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</si>
  <si>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</si>
  <si>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</si>
  <si>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</si>
  <si>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</si>
  <si>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</si>
  <si>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</si>
  <si>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</si>
  <si>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</si>
  <si>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</si>
  <si>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</si>
  <si>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</si>
  <si>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</si>
  <si>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</si>
  <si>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</si>
  <si>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Grand Total</t>
  </si>
  <si>
    <t>Total</t>
  </si>
  <si>
    <t>2022</t>
  </si>
  <si>
    <t>2023</t>
  </si>
  <si>
    <t>2024</t>
  </si>
  <si>
    <t>2025</t>
  </si>
  <si>
    <t>Total Sum of 进口金额（人民币）</t>
  </si>
  <si>
    <t>Total Sum of 台数</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</si>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</sst>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_ * #,##0_ ;_ * \-#,##0_ ;_ * &quot;-&quot;??_ ;_ @_ "/>
    <numFmt numFmtId="165" formatCode="_-* #,##0_-;\-* #,##0_-;_-* &quot;-&quot;??_-;_-@_-"/>
    <numFmt numFmtId="166" formatCode="0_);[Red]\(0\)"/>
  </numFmts>
  <fonts count="9">
    <font>
      <sz val="11"/>
      <color theme="1"/>
      <name val="Calibri"/>
      <family val="2"/>
      <scheme val="minor"/>
    </font>
    <font>
      <sz val="9"/>
      <name val="Calibri"/>
      <family val="3"/>
      <charset val="134"/>
      <scheme val="minor"/>
    </font>
    <font>
      <b/>
      <sz val="11"/>
      <color theme="1"/>
      <name val="Calibri"/>
      <family val="3"/>
      <charset val="134"/>
      <scheme val="minor"/>
    </font>
    <font>
      <sz val="11"/>
      <color theme="1"/>
      <name val="Calibri"/>
      <family val="2"/>
      <scheme val="minor"/>
    </font>
    <font>
      <sz val="12"/>
      <color theme="1"/>
      <name val="Calibri"/>
      <family val="2"/>
      <scheme val="minor"/>
    </font>
    <font>
      <sz val="9"/>
      <name val="Calibri"/>
      <family val="3"/>
      <charset val="136"/>
      <scheme val="minor"/>
    </font>
    <font>
      <b/>
      <sz val="11"/>
      <color theme="0"/>
      <name val="Calibri"/>
      <family val="3"/>
      <charset val="134"/>
      <scheme val="minor"/>
    </font>
    <font>
      <sz val="9"/>
      <name val="Calibri"/>
      <family val="2"/>
      <charset val="136"/>
      <scheme val="minor"/>
    </font>
    <font>
      <sz val="20"/>
      <color theme="1"/>
      <name val="Calibri"/>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43" fontId="3" fillId="0" borderId="0" applyFont="0" applyFill="0" applyBorder="0" applyAlignment="0" applyProtection="0"/>
  </cellStyleXfs>
  <cellXfs count="31">
    <xf numFmtId="0" fontId="0" fillId="0" borderId="0" xfId="0"/>
    <xf numFmtId="0" fontId="0" fillId="0" borderId="1" xfId="0" applyBorder="1" applyAlignment="1">
      <alignment horizontal="center"/>
    </xf>
    <xf numFmtId="0" fontId="0" fillId="0" borderId="1" xfId="0" applyBorder="1"/>
    <xf numFmtId="164"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65" fontId="0" fillId="0" borderId="1" xfId="1" applyNumberFormat="1" applyFont="1" applyBorder="1" applyAlignment="1">
      <alignment horizontal="center"/>
    </xf>
    <xf numFmtId="165"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65" fontId="0" fillId="0" borderId="1" xfId="0" applyNumberFormat="1" applyBorder="1" applyAlignment="1">
      <alignment horizontal="center"/>
    </xf>
    <xf numFmtId="165"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66" fontId="6" fillId="2" borderId="1" xfId="0" applyNumberFormat="1" applyFont="1" applyFill="1" applyBorder="1" applyAlignment="1">
      <alignment horizontal="center"/>
    </xf>
    <xf numFmtId="166" fontId="0" fillId="0" borderId="0" xfId="0" applyNumberFormat="1"/>
    <xf numFmtId="166"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65" fontId="0" fillId="0" borderId="0" xfId="1" applyNumberFormat="1" applyFont="1" applyBorder="1" applyAlignment="1">
      <alignment horizontal="right"/>
    </xf>
    <xf numFmtId="3" fontId="0" fillId="0" borderId="0" xfId="0" applyNumberFormat="1" applyAlignment="1">
      <alignment horizontal="right"/>
    </xf>
    <xf numFmtId="0" fontId="0" fillId="0" borderId="0" xfId="0" applyNumberFormat="1"/>
  </cellXfs>
  <cellStyles count="2">
    <cellStyle name="Comma" xfId="1" builtinId="3"/>
    <cellStyle name="Normal" xfId="0" builtinId="0"/>
  </cellStyles>
  <dxfs count="17">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65"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67"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64"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6"/>
      <tableStyleElement type="headerRow" dxfId="15"/>
    </tableStyle>
    <tableStyle name="SlicerStyleLight6 2 2" pivot="0" table="0" count="10" xr9:uid="{29405B0C-9FAD-45BC-A44A-CB39FA54E9FB}">
      <tableStyleElement type="wholeTable" dxfId="14"/>
      <tableStyleElement type="headerRow" dxfId="13"/>
    </tableStyle>
  </tableStyles>
  <colors>
    <mruColors>
      <color rgb="FFCC66FF"/>
      <color rgb="FFFF6600"/>
      <color rgb="FFFD847B"/>
      <color rgb="FFEC99E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i="0" u="none" strike="noStrike" kern="1200" spc="0" baseline="0">
                <a:solidFill>
                  <a:srgbClr val="44546A"/>
                </a:solidFill>
              </a:rPr>
              <a:t>China Mounter Import Trend (QTY&amp; CNY Amount)</a:t>
            </a:r>
          </a:p>
        </c:rich>
      </c:tx>
      <c:layout>
        <c:manualLayout>
          <c:xMode val="edge"/>
          <c:yMode val="edge"/>
          <c:x val="0.37738205463469521"/>
          <c:y val="1.9725075520083069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pivotFmt>
      <c:pivotFmt>
        <c:idx val="104"/>
        <c:marker>
          <c:symbol val="none"/>
        </c:marker>
      </c:pivotFmt>
      <c:pivotFmt>
        <c:idx val="105"/>
        <c:marker>
          <c:symbol val="none"/>
        </c:marker>
      </c:pivotFmt>
      <c:pivotFmt>
        <c:idx val="106"/>
        <c:spPr>
          <a:solidFill>
            <a:srgbClr val="FFC000"/>
          </a:solidFill>
        </c:spPr>
        <c:marker>
          <c:symbol val="none"/>
        </c:marker>
        <c:dLbl>
          <c:idx val="0"/>
          <c:delete val="1"/>
          <c:extLst>
            <c:ext xmlns:c15="http://schemas.microsoft.com/office/drawing/2012/chart" uri="{CE6537A1-D6FC-4f65-9D91-7224C49458BB}"/>
          </c:extLst>
        </c:dLbl>
      </c:pivotFmt>
      <c:pivotFmt>
        <c:idx val="107"/>
        <c:spPr>
          <a:ln>
            <a:solidFill>
              <a:schemeClr val="accent4"/>
            </a:solidFill>
          </a:ln>
        </c:spPr>
        <c:marker>
          <c:spPr>
            <a:solidFill>
              <a:schemeClr val="tx1"/>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00B0F0"/>
          </a:solidFill>
        </c:spPr>
        <c:marker>
          <c:symbol val="none"/>
        </c:marker>
        <c:dLbl>
          <c:idx val="0"/>
          <c:delete val="1"/>
          <c:extLst>
            <c:ext xmlns:c15="http://schemas.microsoft.com/office/drawing/2012/chart" uri="{CE6537A1-D6FC-4f65-9D91-7224C49458BB}"/>
          </c:extLst>
        </c:dLbl>
      </c:pivotFmt>
      <c:pivotFmt>
        <c:idx val="109"/>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92D050"/>
          </a:solidFill>
        </c:spPr>
        <c:marker>
          <c:symbol val="none"/>
        </c:marker>
        <c:dLbl>
          <c:idx val="0"/>
          <c:delete val="1"/>
          <c:extLst>
            <c:ext xmlns:c15="http://schemas.microsoft.com/office/drawing/2012/chart" uri="{CE6537A1-D6FC-4f65-9D91-7224C49458BB}"/>
          </c:extLst>
        </c:dLbl>
      </c:pivotFmt>
      <c:pivotFmt>
        <c:idx val="111"/>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7.4726449709294328E-4"/>
              <c:y val="7.5447576409978564E-3"/>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8.2199094680236902E-3"/>
              <c:y val="-1.2574596068329761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4"/>
      </c:pivotFmt>
      <c:pivotFmt>
        <c:idx val="115"/>
        <c:spPr>
          <a:solidFill>
            <a:srgbClr val="FFC000"/>
          </a:solidFill>
        </c:spPr>
        <c:marker>
          <c:symbol val="none"/>
        </c:marker>
        <c:dLbl>
          <c:idx val="0"/>
          <c:delete val="1"/>
          <c:extLst>
            <c:ext xmlns:c15="http://schemas.microsoft.com/office/drawing/2012/chart" uri="{CE6537A1-D6FC-4f65-9D91-7224C49458BB}"/>
          </c:extLst>
        </c:dLbl>
      </c:pivotFmt>
      <c:pivotFmt>
        <c:idx val="116"/>
        <c:spPr>
          <a:ln>
            <a:solidFill>
              <a:schemeClr val="accent4"/>
            </a:solidFill>
          </a:ln>
        </c:spPr>
        <c:marker>
          <c:symbol val="square"/>
          <c:size val="8"/>
          <c:spPr>
            <a:solidFill>
              <a:schemeClr val="tx1">
                <a:lumMod val="95000"/>
                <a:lumOff val="5000"/>
              </a:schemeClr>
            </a:solidFill>
            <a:ln>
              <a:solidFill>
                <a:schemeClr val="accent4"/>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solidFill>
            <a:schemeClr val="accent1"/>
          </a:solidFill>
        </c:spPr>
        <c:marker>
          <c:symbol val="none"/>
        </c:marker>
        <c:dLbl>
          <c:idx val="0"/>
          <c:delete val="1"/>
          <c:extLst>
            <c:ext xmlns:c15="http://schemas.microsoft.com/office/drawing/2012/chart" uri="{CE6537A1-D6FC-4f65-9D91-7224C49458BB}"/>
          </c:extLst>
        </c:dLbl>
      </c:pivotFmt>
      <c:pivotFmt>
        <c:idx val="118"/>
        <c:spPr>
          <a:ln>
            <a:solidFill>
              <a:srgbClr val="00B0F0"/>
            </a:solidFill>
          </a:ln>
        </c:spPr>
        <c:marker>
          <c:symbol val="square"/>
          <c:size val="8"/>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9"/>
        <c:spPr>
          <a:solidFill>
            <a:srgbClr val="FD847B"/>
          </a:solidFill>
          <a:ln>
            <a:solidFill>
              <a:srgbClr val="CC66FF"/>
            </a:solidFill>
          </a:ln>
        </c:spPr>
        <c:marker>
          <c:symbol val="none"/>
        </c:marker>
        <c:dLbl>
          <c:idx val="0"/>
          <c:delete val="1"/>
          <c:extLst>
            <c:ext xmlns:c15="http://schemas.microsoft.com/office/drawing/2012/chart" uri="{CE6537A1-D6FC-4f65-9D91-7224C49458BB}"/>
          </c:extLst>
        </c:dLbl>
      </c:pivotFmt>
      <c:pivotFmt>
        <c:idx val="120"/>
        <c:spPr>
          <a:ln>
            <a:solidFill>
              <a:srgbClr val="FF0000"/>
            </a:solidFill>
          </a:ln>
        </c:spPr>
        <c:marker>
          <c:symbol val="square"/>
          <c:size val="6"/>
          <c:spPr>
            <a:solidFill>
              <a:schemeClr val="tx1"/>
            </a:solidFill>
            <a:ln>
              <a:solidFill>
                <a:srgbClr val="FF000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1"/>
        <c:spPr>
          <a:solidFill>
            <a:srgbClr val="92D050"/>
          </a:solidFill>
        </c:spPr>
        <c:marker>
          <c:symbol val="none"/>
        </c:marker>
        <c:dLbl>
          <c:idx val="0"/>
          <c:delete val="1"/>
          <c:extLst>
            <c:ext xmlns:c15="http://schemas.microsoft.com/office/drawing/2012/chart" uri="{CE6537A1-D6FC-4f65-9D91-7224C49458BB}"/>
          </c:extLst>
        </c:dLbl>
      </c:pivotFmt>
      <c:pivotFmt>
        <c:idx val="122"/>
        <c:spPr>
          <a:ln>
            <a:solidFill>
              <a:srgbClr val="92D050"/>
            </a:solidFill>
          </a:ln>
        </c:spPr>
        <c:marker>
          <c:symbol val="square"/>
          <c:size val="8"/>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3"/>
        <c:dLbl>
          <c:idx val="0"/>
          <c:layout>
            <c:manualLayout>
              <c:x val="-1.762299599076763E-2"/>
              <c:y val="-3.3865991193364711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4"/>
      </c:pivotFmt>
      <c:pivotFmt>
        <c:idx val="125"/>
        <c:dLbl>
          <c:idx val="0"/>
          <c:layout>
            <c:manualLayout>
              <c:x val="-1.71207046323773E-2"/>
              <c:y val="-3.38659911933646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6"/>
        <c:dLbl>
          <c:idx val="0"/>
          <c:layout>
            <c:manualLayout>
              <c:x val="-1.1096008129437352E-2"/>
              <c:y val="1.322887458198900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7"/>
        <c:dLbl>
          <c:idx val="0"/>
          <c:layout>
            <c:manualLayout>
              <c:x val="-1.2384366070576249E-2"/>
              <c:y val="-1.8167702601580099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8"/>
        <c:dLbl>
          <c:idx val="0"/>
          <c:layout>
            <c:manualLayout>
              <c:x val="-1.1740187100006705E-2"/>
              <c:y val="2.0474238547428178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9"/>
        <c:dLbl>
          <c:idx val="0"/>
          <c:layout>
            <c:manualLayout>
              <c:x val="-1.4961081952854418E-2"/>
              <c:y val="1.685155656470852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0"/>
        <c:dLbl>
          <c:idx val="0"/>
          <c:layout>
            <c:manualLayout>
              <c:x val="-1.8181976805702129E-2"/>
              <c:y val="2.3493140199694403E-2"/>
            </c:manualLayout>
          </c:layout>
          <c:spPr>
            <a:noFill/>
            <a:ln>
              <a:noFill/>
            </a:ln>
            <a:effectLst/>
          </c:spPr>
          <c:txPr>
            <a:bodyPr wrap="square" lIns="38100" tIns="19050" rIns="38100" bIns="19050" anchor="ctr">
              <a:no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2.3480323477259826E-2"/>
                  <c:h val="3.0297696982144268E-2"/>
                </c:manualLayout>
              </c15:layout>
            </c:ext>
          </c:extLst>
        </c:dLbl>
      </c:pivotFmt>
      <c:pivotFmt>
        <c:idx val="131"/>
        <c:dLbl>
          <c:idx val="0"/>
          <c:layout>
            <c:manualLayout>
              <c:x val="-1.7120704632377207E-2"/>
              <c:y val="-3.7488673176084217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2"/>
        <c:dLbl>
          <c:idx val="0"/>
          <c:layout>
            <c:manualLayout>
              <c:x val="-1.7120704632377207E-2"/>
              <c:y val="1.564399590380210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3"/>
        <c:dLbl>
          <c:idx val="0"/>
          <c:layout>
            <c:manualLayout>
              <c:x val="-1.2384366070576249E-2"/>
              <c:y val="1.2021313921082582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4"/>
      </c:pivotFmt>
      <c:pivotFmt>
        <c:idx val="135"/>
      </c:pivotFmt>
      <c:pivotFmt>
        <c:idx val="136"/>
        <c:dLbl>
          <c:idx val="0"/>
          <c:layout>
            <c:manualLayout>
              <c:x val="-1.7764883602946844E-2"/>
              <c:y val="-2.903574854973866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7"/>
        <c:dLbl>
          <c:idx val="0"/>
          <c:layout>
            <c:manualLayout>
              <c:x val="-1.71207046323773E-2"/>
              <c:y val="1.4436435242895554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8"/>
        <c:dLbl>
          <c:idx val="0"/>
          <c:layout>
            <c:manualLayout>
              <c:x val="2.8488434552785161E-3"/>
              <c:y val="-1.2618533488889967E-3"/>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39"/>
        <c:dLbl>
          <c:idx val="0"/>
          <c:layout>
            <c:manualLayout>
              <c:x val="-1.6086772023236297E-2"/>
              <c:y val="-3.2924093877857705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0"/>
        <c:dLbl>
          <c:idx val="0"/>
          <c:layout>
            <c:manualLayout>
              <c:x val="-1.2093412424056668E-2"/>
              <c:y val="-2.092774632706193E-2"/>
            </c:manualLayout>
          </c:layout>
          <c:spPr>
            <a:noFill/>
            <a:ln>
              <a:noFill/>
            </a:ln>
            <a:effectLst/>
          </c:spPr>
          <c:txPr>
            <a:bodyPr wrap="square" lIns="38100" tIns="19050" rIns="38100" bIns="19050" anchor="ctr">
              <a:sp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data'!$J$1:$J$3</c:f>
              <c:strCache>
                <c:ptCount val="1"/>
                <c:pt idx="0">
                  <c:v>2022 - Sum of 进口金额（人民币）</c:v>
                </c:pt>
              </c:strCache>
            </c:strRef>
          </c:tx>
          <c:spPr>
            <a:solidFill>
              <a:schemeClr val="accent1"/>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2023 - Sum of 进口金额（人民币）</c:v>
                </c:pt>
              </c:strCache>
            </c:strRef>
          </c:tx>
          <c:spPr>
            <a:solidFill>
              <a:srgbClr val="FD847B"/>
            </a:solidFill>
            <a:ln>
              <a:solidFill>
                <a:srgbClr val="CC66FF"/>
              </a:solidFill>
            </a:ln>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2024 - Sum of 进口金额（人民币）</c:v>
                </c:pt>
              </c:strCache>
            </c:strRef>
          </c:tx>
          <c:spPr>
            <a:solidFill>
              <a:srgbClr val="92D05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pt idx="10">
                  <c:v>766911970</c:v>
                </c:pt>
                <c:pt idx="11">
                  <c:v>876303934</c:v>
                </c:pt>
              </c:numCache>
            </c:numRef>
          </c:val>
          <c:extLst>
            <c:ext xmlns:c16="http://schemas.microsoft.com/office/drawing/2014/chart" uri="{C3380CC4-5D6E-409C-BE32-E72D297353CC}">
              <c16:uniqueId val="{00000014-F61D-4471-9484-8B3C41DF043A}"/>
            </c:ext>
          </c:extLst>
        </c:ser>
        <c:ser>
          <c:idx val="6"/>
          <c:order val="6"/>
          <c:tx>
            <c:strRef>
              <c:f>'raw data'!$P$1:$P$3</c:f>
              <c:strCache>
                <c:ptCount val="1"/>
                <c:pt idx="0">
                  <c:v>2025 - Sum of 进口金额（人民币）</c:v>
                </c:pt>
              </c:strCache>
            </c:strRef>
          </c:tx>
          <c:spPr>
            <a:solidFill>
              <a:srgbClr val="FFC000"/>
            </a:solidFill>
          </c:spPr>
          <c:invertIfNegative val="0"/>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data'!$P$4:$P$16</c:f>
              <c:numCache>
                <c:formatCode>_ * #,##0_ ;_ * \-#,##0_ ;_ * "-"??_ ;_ @_ </c:formatCode>
                <c:ptCount val="12"/>
                <c:pt idx="0">
                  <c:v>806533266</c:v>
                </c:pt>
                <c:pt idx="1">
                  <c:v>724727768</c:v>
                </c:pt>
              </c:numCache>
            </c:numRef>
          </c:val>
          <c:extLst>
            <c:ext xmlns:c16="http://schemas.microsoft.com/office/drawing/2014/chart" uri="{C3380CC4-5D6E-409C-BE32-E72D297353CC}">
              <c16:uniqueId val="{00000001-6AF8-4FA0-BE8B-DBD9EF563083}"/>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2022 - Sum of 台数</c:v>
                </c:pt>
              </c:strCache>
            </c:strRef>
          </c:tx>
          <c:spPr>
            <a:ln>
              <a:solidFill>
                <a:srgbClr val="00B0F0"/>
              </a:solidFill>
            </a:ln>
          </c:spPr>
          <c:marker>
            <c:symbol val="square"/>
            <c:size val="8"/>
            <c:spPr>
              <a:solidFill>
                <a:schemeClr val="tx1"/>
              </a:solidFill>
              <a:ln>
                <a:solidFill>
                  <a:srgbClr val="00B0F0"/>
                </a:solidFill>
              </a:ln>
            </c:spPr>
          </c:marker>
          <c:dLbls>
            <c:dLbl>
              <c:idx val="2"/>
              <c:layout>
                <c:manualLayout>
                  <c:x val="-1.2093412424056668E-2"/>
                  <c:y val="-2.0927746327061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6AF8-4FA0-BE8B-DBD9EF563083}"/>
                </c:ext>
              </c:extLst>
            </c:dLbl>
            <c:dLbl>
              <c:idx val="3"/>
              <c:layout>
                <c:manualLayout>
                  <c:x val="-1.7764883602946844E-2"/>
                  <c:y val="-2.90357485497386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6AF8-4FA0-BE8B-DBD9EF563083}"/>
                </c:ext>
              </c:extLst>
            </c:dLbl>
            <c:dLbl>
              <c:idx val="8"/>
              <c:layout>
                <c:manualLayout>
                  <c:x val="-1.7120704632377207E-2"/>
                  <c:y val="-3.74886731760842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AF8-4FA0-BE8B-DBD9EF563083}"/>
                </c:ext>
              </c:extLst>
            </c:dLbl>
            <c:dLbl>
              <c:idx val="9"/>
              <c:layout>
                <c:manualLayout>
                  <c:x val="-1.1740187100006705E-2"/>
                  <c:y val="2.047423854742817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C9-E440-8114-93DE41848DF6}"/>
                </c:ext>
              </c:extLst>
            </c:dLbl>
            <c:dLbl>
              <c:idx val="10"/>
              <c:layout>
                <c:manualLayout>
                  <c:x val="-1.1096008129437352E-2"/>
                  <c:y val="1.322887458198900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F8-4FA0-BE8B-DBD9EF563083}"/>
                </c:ext>
              </c:extLst>
            </c:dLbl>
            <c:dLbl>
              <c:idx val="11"/>
              <c:layout>
                <c:manualLayout>
                  <c:x val="-1.2384366070576249E-2"/>
                  <c:y val="1.202131392108258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AF8-4FA0-BE8B-DBD9EF563083}"/>
                </c:ext>
              </c:extLst>
            </c:dLbl>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2023 - Sum of 台数</c:v>
                </c:pt>
              </c:strCache>
            </c:strRef>
          </c:tx>
          <c:spPr>
            <a:ln>
              <a:solidFill>
                <a:srgbClr val="FF0000"/>
              </a:solidFill>
            </a:ln>
          </c:spPr>
          <c:marker>
            <c:symbol val="square"/>
            <c:size val="6"/>
            <c:spPr>
              <a:solidFill>
                <a:schemeClr val="tx1"/>
              </a:solidFill>
              <a:ln>
                <a:solidFill>
                  <a:srgbClr val="FF0000"/>
                </a:solidFill>
              </a:ln>
            </c:spPr>
          </c:marker>
          <c:dLbls>
            <c:dLbl>
              <c:idx val="1"/>
              <c:layout>
                <c:manualLayout>
                  <c:x val="-1.4961081952854418E-2"/>
                  <c:y val="1.68515565647085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AF8-4FA0-BE8B-DBD9EF563083}"/>
                </c:ext>
              </c:extLst>
            </c:dLbl>
            <c:dLbl>
              <c:idx val="3"/>
              <c:layout>
                <c:manualLayout>
                  <c:x val="2.8488434552785161E-3"/>
                  <c:y val="-1.2618533488889967E-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6AF8-4FA0-BE8B-DBD9EF563083}"/>
                </c:ext>
              </c:extLst>
            </c:dLbl>
            <c:dLbl>
              <c:idx val="4"/>
              <c:layout>
                <c:manualLayout>
                  <c:x val="-1.6086772023236297E-2"/>
                  <c:y val="-3.292409387785770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AF8-4FA0-BE8B-DBD9EF563083}"/>
                </c:ext>
              </c:extLst>
            </c:dLbl>
            <c:dLbl>
              <c:idx val="9"/>
              <c:layout>
                <c:manualLayout>
                  <c:x val="-1.2384366070576249E-2"/>
                  <c:y val="-1.81677026015800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07-414B-93AC-2DD37A19B335}"/>
                </c:ext>
              </c:extLst>
            </c:dLbl>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2024 - Sum of 台数</c:v>
                </c:pt>
              </c:strCache>
            </c:strRef>
          </c:tx>
          <c:spPr>
            <a:ln>
              <a:solidFill>
                <a:srgbClr val="92D050"/>
              </a:solidFill>
            </a:ln>
          </c:spPr>
          <c:marker>
            <c:symbol val="square"/>
            <c:size val="8"/>
            <c:spPr>
              <a:solidFill>
                <a:schemeClr val="tx1"/>
              </a:solidFill>
              <a:ln>
                <a:solidFill>
                  <a:srgbClr val="92D050"/>
                </a:solidFill>
              </a:ln>
            </c:spPr>
          </c:marker>
          <c:dPt>
            <c:idx val="1"/>
            <c:bubble3D val="0"/>
            <c:extLst>
              <c:ext xmlns:c16="http://schemas.microsoft.com/office/drawing/2014/chart" uri="{C3380CC4-5D6E-409C-BE32-E72D297353CC}">
                <c16:uniqueId val="{00000021-F61D-4471-9484-8B3C41DF043A}"/>
              </c:ext>
            </c:extLst>
          </c:dPt>
          <c:dLbls>
            <c:dLbl>
              <c:idx val="1"/>
              <c:layout>
                <c:manualLayout>
                  <c:x val="-1.8181976805702129E-2"/>
                  <c:y val="2.3493140199694403E-2"/>
                </c:manualLayout>
              </c:layout>
              <c:spPr>
                <a:noFill/>
                <a:ln>
                  <a:noFill/>
                </a:ln>
                <a:effectLst/>
              </c:spPr>
              <c:txPr>
                <a:bodyPr wrap="square" lIns="38100" tIns="19050" rIns="38100" bIns="19050" anchor="ctr">
                  <a:noAutofit/>
                </a:bodyPr>
                <a:lstStyle/>
                <a:p>
                  <a:pPr>
                    <a:defRPr sz="1600" b="1"/>
                  </a:pPr>
                  <a:endParaRPr lang="en-US"/>
                </a:p>
              </c:txPr>
              <c:dLblPos val="r"/>
              <c:showLegendKey val="0"/>
              <c:showVal val="1"/>
              <c:showCatName val="0"/>
              <c:showSerName val="0"/>
              <c:showPercent val="0"/>
              <c:showBubbleSize val="0"/>
              <c:extLst>
                <c:ext xmlns:c15="http://schemas.microsoft.com/office/drawing/2012/chart" uri="{CE6537A1-D6FC-4f65-9D91-7224C49458BB}">
                  <c15:layout>
                    <c:manualLayout>
                      <c:w val="2.3480323477259826E-2"/>
                      <c:h val="3.0297696982144268E-2"/>
                    </c:manualLayout>
                  </c15:layout>
                </c:ext>
                <c:ext xmlns:c16="http://schemas.microsoft.com/office/drawing/2014/chart" uri="{C3380CC4-5D6E-409C-BE32-E72D297353CC}">
                  <c16:uniqueId val="{00000021-F61D-4471-9484-8B3C41DF043A}"/>
                </c:ext>
              </c:extLst>
            </c:dLbl>
            <c:dLbl>
              <c:idx val="2"/>
              <c:layout>
                <c:manualLayout>
                  <c:x val="-1.762299599076763E-2"/>
                  <c:y val="-3.386599119336471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AF8-4FA0-BE8B-DBD9EF563083}"/>
                </c:ext>
              </c:extLst>
            </c:dLbl>
            <c:dLbl>
              <c:idx val="3"/>
              <c:layout>
                <c:manualLayout>
                  <c:x val="-1.71207046323773E-2"/>
                  <c:y val="1.443643524289555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AF8-4FA0-BE8B-DBD9EF563083}"/>
                </c:ext>
              </c:extLst>
            </c:dLbl>
            <c:dLbl>
              <c:idx val="8"/>
              <c:layout>
                <c:manualLayout>
                  <c:x val="-1.7120704632377207E-2"/>
                  <c:y val="1.564399590380210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AF8-4FA0-BE8B-DBD9EF563083}"/>
                </c:ext>
              </c:extLst>
            </c:dLbl>
            <c:dLbl>
              <c:idx val="10"/>
              <c:layout>
                <c:manualLayout>
                  <c:x val="-1.71207046323773E-2"/>
                  <c:y val="-3.3865991193364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AF8-4FA0-BE8B-DBD9EF563083}"/>
                </c:ext>
              </c:extLst>
            </c:dLbl>
            <c:spPr>
              <a:noFill/>
              <a:ln>
                <a:noFill/>
              </a:ln>
              <a:effectLst/>
            </c:spPr>
            <c:txPr>
              <a:bodyPr wrap="square" lIns="38100" tIns="19050" rIns="38100" bIns="19050" anchor="ctr">
                <a:spAutoFit/>
              </a:bodyPr>
              <a:lstStyle/>
              <a:p>
                <a:pPr>
                  <a:defRPr sz="16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pt idx="10">
                  <c:v>1039</c:v>
                </c:pt>
                <c:pt idx="11">
                  <c:v>1129</c:v>
                </c:pt>
              </c:numCache>
            </c:numRef>
          </c:val>
          <c:smooth val="0"/>
          <c:extLst>
            <c:ext xmlns:c16="http://schemas.microsoft.com/office/drawing/2014/chart" uri="{C3380CC4-5D6E-409C-BE32-E72D297353CC}">
              <c16:uniqueId val="{0000001D-F61D-4471-9484-8B3C41DF043A}"/>
            </c:ext>
          </c:extLst>
        </c:ser>
        <c:ser>
          <c:idx val="7"/>
          <c:order val="7"/>
          <c:tx>
            <c:strRef>
              <c:f>'raw data'!$Q$1:$Q$3</c:f>
              <c:strCache>
                <c:ptCount val="1"/>
                <c:pt idx="0">
                  <c:v>2025 - Sum of 台数</c:v>
                </c:pt>
              </c:strCache>
            </c:strRef>
          </c:tx>
          <c:spPr>
            <a:ln>
              <a:solidFill>
                <a:schemeClr val="accent4"/>
              </a:solidFill>
            </a:ln>
          </c:spPr>
          <c:marker>
            <c:symbol val="square"/>
            <c:size val="8"/>
            <c:spPr>
              <a:solidFill>
                <a:schemeClr val="tx1">
                  <a:lumMod val="95000"/>
                  <a:lumOff val="5000"/>
                </a:schemeClr>
              </a:solidFill>
              <a:ln>
                <a:solidFill>
                  <a:schemeClr val="accent4"/>
                </a:solidFill>
              </a:ln>
            </c:spPr>
          </c:marker>
          <c:dLbls>
            <c:dLbl>
              <c:idx val="0"/>
              <c:layout>
                <c:manualLayout>
                  <c:x val="-1.352775838196044E-2"/>
                  <c:y val="-3.260413784447573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AF8-4FA0-BE8B-DBD9EF563083}"/>
                </c:ext>
              </c:extLst>
            </c:dLbl>
            <c:dLbl>
              <c:idx val="1"/>
              <c:layout>
                <c:manualLayout>
                  <c:x val="-1.2883579411390896E-2"/>
                  <c:y val="-3.62268198271952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6AF8-4FA0-BE8B-DBD9EF563083}"/>
                </c:ext>
              </c:extLst>
            </c:dLbl>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'raw data'!$Q$4:$Q$16</c:f>
              <c:numCache>
                <c:formatCode>_ * #,##0_ ;_ * \-#,##0_ ;_ * "-"??_ ;_ @_ </c:formatCode>
                <c:ptCount val="12"/>
                <c:pt idx="0">
                  <c:v>1084</c:v>
                </c:pt>
                <c:pt idx="1">
                  <c:v>1094</c:v>
                </c:pt>
              </c:numCache>
            </c:numRef>
          </c:val>
          <c:smooth val="0"/>
          <c:extLst>
            <c:ext xmlns:c16="http://schemas.microsoft.com/office/drawing/2014/chart" uri="{C3380CC4-5D6E-409C-BE32-E72D297353CC}">
              <c16:uniqueId val="{00000002-6AF8-4FA0-BE8B-DBD9EF563083}"/>
            </c:ext>
          </c:extLst>
        </c:ser>
        <c:dLbls>
          <c:showLegendKey val="0"/>
          <c:showVal val="0"/>
          <c:showCatName val="0"/>
          <c:showSerName val="0"/>
          <c:showPercent val="0"/>
          <c:showBubbleSize val="0"/>
        </c:dLbls>
        <c:marker val="1"/>
        <c:smooth val="0"/>
        <c:axId val="1922787984"/>
        <c:axId val="1748954512"/>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1748954512"/>
        <c:scaling>
          <c:orientation val="minMax"/>
        </c:scaling>
        <c:delete val="0"/>
        <c:axPos val="r"/>
        <c:numFmt formatCode="_ * #,##0_ ;_ * \-#,##0_ ;_ * &quot;-&quot;??_ ;_ @_ " sourceLinked="1"/>
        <c:majorTickMark val="out"/>
        <c:minorTickMark val="none"/>
        <c:tickLblPos val="nextTo"/>
        <c:txPr>
          <a:bodyPr/>
          <a:lstStyle/>
          <a:p>
            <a:pPr>
              <a:defRPr sz="1600"/>
            </a:pPr>
            <a:endParaRPr lang="en-US"/>
          </a:p>
        </c:txPr>
        <c:crossAx val="1922787984"/>
        <c:crosses val="max"/>
        <c:crossBetween val="between"/>
      </c:valAx>
      <c:catAx>
        <c:axId val="1922787984"/>
        <c:scaling>
          <c:orientation val="minMax"/>
        </c:scaling>
        <c:delete val="1"/>
        <c:axPos val="b"/>
        <c:numFmt formatCode="General" sourceLinked="1"/>
        <c:majorTickMark val="out"/>
        <c:minorTickMark val="none"/>
        <c:tickLblPos val="nextTo"/>
        <c:crossAx val="1748954512"/>
        <c:auto val="1"/>
        <c:lblAlgn val="ctr"/>
        <c:lblOffset val="100"/>
        <c:noMultiLvlLbl val="0"/>
      </c:catAx>
      <c:dTable>
        <c:showHorzBorder val="1"/>
        <c:showVertBorder val="1"/>
        <c:showOutline val="1"/>
        <c:showKeys val="1"/>
        <c:spPr>
          <a:noFill/>
          <a:ln w="9525" cap="flat" cmpd="sng" algn="ctr">
            <a:solidFill>
              <a:schemeClr val="tx1">
                <a:lumMod val="15000"/>
                <a:lumOff val="85000"/>
                <a:alpha val="94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Total</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Total</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318653</xdr:colOff>
      <xdr:row>58</xdr:row>
      <xdr:rowOff>17057</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736.408467939815" createdVersion="8" refreshedVersion="8" minRefreshableVersion="3" recordCount="26" xr:uid="{307037F0-6138-0347-A69C-EB923C7D0537}">
  <cacheSource type="worksheet">
    <worksheetSource ref="A1:E27" sheet="raw data_Region"/>
  </cacheSource>
  <cacheFields count="5">
    <cacheField name="数据年" numFmtId="166">
      <sharedItems containsSemiMixedTypes="0" containsString="0" containsNumber="1" containsInteger="1" minValue="2022" maxValue="2023" count="2">
        <n v="2023"/>
        <n v="2022"/>
      </sharedItems>
    </cacheField>
    <cacheField name="地區" numFmtId="14">
      <sharedItems count="5">
        <s v="NORTH"/>
        <s v="EAST"/>
        <s v="WEST"/>
        <s v="SOUTH"/>
        <s v="OTHER"/>
      </sharedItems>
    </cacheField>
    <cacheField name="主要进口省份" numFmtId="14">
      <sharedItems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Chan" refreshedDate="45736.433059953706" createdVersion="8" refreshedVersion="8" minRefreshableVersion="3" recordCount="38" xr:uid="{46C3B069-3CF6-460D-ACAF-0F80FC0BC90A}">
  <cacheSource type="worksheet">
    <worksheetSource name="表1"/>
  </cacheSource>
  <cacheFields count="9">
    <cacheField name="数据年月" numFmtId="14">
      <sharedItems containsSemiMixedTypes="0" containsNonDate="0" containsDate="1" containsString="0" minDate="2022-01-01T00:00:00" maxDate="2025-02-02T00:00:00" count="38">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65">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165">
      <sharedItems containsSemiMixedTypes="0" containsString="0" containsNumber="1" containsInteger="1" minValue="2022" maxValue="2025"/>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5-02-02T00:00:00"/>
        <groupItems count="14">
          <s v="&lt;1/1/2022"/>
          <s v="Jan"/>
          <s v="Feb"/>
          <s v="Mar"/>
          <s v="Apr"/>
          <s v="May"/>
          <s v="Jun"/>
          <s v="Jul"/>
          <s v="Aug"/>
          <s v="Sep"/>
          <s v="Oct"/>
          <s v="Nov"/>
          <s v="Dec"/>
          <s v="&gt;2/2/2025"/>
        </groupItems>
      </fieldGroup>
    </cacheField>
    <cacheField name="Years (数据年月)" numFmtId="0" databaseField="0">
      <fieldGroup base="0">
        <rangePr groupBy="years" startDate="2022-01-01T00:00:00" endDate="2025-02-02T00:00:00"/>
        <groupItems count="6">
          <s v="&lt;1/1/2022"/>
          <s v="2022"/>
          <s v="2023"/>
          <s v="2024"/>
          <s v="2025"/>
          <s v="&gt;2/2/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r>
    <x v="34"/>
    <n v="84798962"/>
    <s v="MOUNTER"/>
    <n v="1039"/>
    <n v="766911970"/>
    <n v="2024"/>
    <n v="11"/>
  </r>
  <r>
    <x v="35"/>
    <n v="84798962"/>
    <s v="MOUNTER"/>
    <n v="1129"/>
    <n v="876303934"/>
    <n v="2024"/>
    <n v="12"/>
  </r>
  <r>
    <x v="36"/>
    <n v="84798962"/>
    <s v="MOUNTER"/>
    <n v="1084"/>
    <n v="806533266"/>
    <n v="2025"/>
    <n v="1"/>
  </r>
  <r>
    <x v="37"/>
    <n v="84798962"/>
    <s v="MOUNTER"/>
    <n v="1094"/>
    <n v="724727768"/>
    <n v="202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75"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44">
  <location ref="I1:S16" firstHeaderRow="1" firstDataRow="3" firstDataCol="1"/>
  <pivotFields count="9">
    <pivotField compact="0" numFmtId="14" outline="0"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7">
        <item x="0"/>
        <item x="1"/>
        <item x="2"/>
        <item x="3"/>
        <item x="4"/>
        <item x="5"/>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10">
    <i>
      <x v="1"/>
      <x/>
    </i>
    <i r="1" i="1">
      <x v="1"/>
    </i>
    <i>
      <x v="2"/>
      <x/>
    </i>
    <i r="1" i="1">
      <x v="1"/>
    </i>
    <i>
      <x v="3"/>
      <x/>
    </i>
    <i r="1" i="1">
      <x v="1"/>
    </i>
    <i>
      <x v="4"/>
      <x/>
    </i>
    <i r="1" i="1">
      <x v="1"/>
    </i>
    <i t="grand">
      <x/>
    </i>
    <i t="grand" i="1">
      <x/>
    </i>
  </colItems>
  <dataFields count="2">
    <dataField name="Sum of 进口金额（人民币）" fld="4" baseField="0" baseItem="0"/>
    <dataField name="Sum of 台数" fld="3" baseField="0" baseItem="0"/>
  </dataFields>
  <formats count="2">
    <format dxfId="12">
      <pivotArea outline="0" collapsedLevelsAreSubtotals="1" fieldPosition="0"/>
    </format>
    <format dxfId="11">
      <pivotArea dataOnly="0" outline="0" fieldPosition="0">
        <references count="1">
          <reference field="8" count="0" defaultSubtotal="1"/>
        </references>
      </pivotArea>
    </format>
  </formats>
  <chartFormats count="76">
    <chartFormat chart="52" format="115" series="1">
      <pivotArea type="data" outline="0" fieldPosition="0">
        <references count="2">
          <reference field="4294967294" count="1" selected="0">
            <x v="0"/>
          </reference>
          <reference field="8" count="1" selected="0">
            <x v="4"/>
          </reference>
        </references>
      </pivotArea>
    </chartFormat>
    <chartFormat chart="52" format="116" series="1">
      <pivotArea type="data" outline="0" fieldPosition="0">
        <references count="2">
          <reference field="4294967294" count="1" selected="0">
            <x v="1"/>
          </reference>
          <reference field="8" count="1" selected="0">
            <x v="4"/>
          </reference>
        </references>
      </pivotArea>
    </chartFormat>
    <chartFormat chart="52" format="117" series="1">
      <pivotArea type="data" outline="0" fieldPosition="0">
        <references count="2">
          <reference field="4294967294" count="1" selected="0">
            <x v="0"/>
          </reference>
          <reference field="8" count="1" selected="0">
            <x v="1"/>
          </reference>
        </references>
      </pivotArea>
    </chartFormat>
    <chartFormat chart="52" format="118" series="1">
      <pivotArea type="data" outline="0" fieldPosition="0">
        <references count="2">
          <reference field="4294967294" count="1" selected="0">
            <x v="1"/>
          </reference>
          <reference field="8" count="1" selected="0">
            <x v="1"/>
          </reference>
        </references>
      </pivotArea>
    </chartFormat>
    <chartFormat chart="52" format="119" series="1">
      <pivotArea type="data" outline="0" fieldPosition="0">
        <references count="2">
          <reference field="4294967294" count="1" selected="0">
            <x v="0"/>
          </reference>
          <reference field="8" count="1" selected="0">
            <x v="2"/>
          </reference>
        </references>
      </pivotArea>
    </chartFormat>
    <chartFormat chart="52" format="120" series="1">
      <pivotArea type="data" outline="0" fieldPosition="0">
        <references count="2">
          <reference field="4294967294" count="1" selected="0">
            <x v="1"/>
          </reference>
          <reference field="8" count="1" selected="0">
            <x v="2"/>
          </reference>
        </references>
      </pivotArea>
    </chartFormat>
    <chartFormat chart="52" format="121" series="1">
      <pivotArea type="data" outline="0" fieldPosition="0">
        <references count="2">
          <reference field="4294967294" count="1" selected="0">
            <x v="0"/>
          </reference>
          <reference field="8" count="1" selected="0">
            <x v="3"/>
          </reference>
        </references>
      </pivotArea>
    </chartFormat>
    <chartFormat chart="52" format="122" series="1">
      <pivotArea type="data" outline="0" fieldPosition="0">
        <references count="2">
          <reference field="4294967294" count="1" selected="0">
            <x v="1"/>
          </reference>
          <reference field="8" count="1" selected="0">
            <x v="3"/>
          </reference>
        </references>
      </pivotArea>
    </chartFormat>
    <chartFormat chart="52" format="123">
      <pivotArea type="data" outline="0" fieldPosition="0">
        <references count="3">
          <reference field="4294967294" count="1" selected="0">
            <x v="1"/>
          </reference>
          <reference field="7" count="1" selected="0">
            <x v="3"/>
          </reference>
          <reference field="8" count="1" selected="0">
            <x v="3"/>
          </reference>
        </references>
      </pivotArea>
    </chartFormat>
    <chartFormat chart="52" format="124">
      <pivotArea type="data" outline="0" fieldPosition="0">
        <references count="3">
          <reference field="4294967294" count="1" selected="0">
            <x v="1"/>
          </reference>
          <reference field="7" count="1" selected="0">
            <x v="5"/>
          </reference>
          <reference field="8" count="1" selected="0">
            <x v="4"/>
          </reference>
        </references>
      </pivotArea>
    </chartFormat>
    <chartFormat chart="52" format="125">
      <pivotArea type="data" outline="0" fieldPosition="0">
        <references count="3">
          <reference field="4294967294" count="1" selected="0">
            <x v="1"/>
          </reference>
          <reference field="7" count="1" selected="0">
            <x v="11"/>
          </reference>
          <reference field="8" count="1" selected="0">
            <x v="3"/>
          </reference>
        </references>
      </pivotArea>
    </chartFormat>
    <chartFormat chart="52" format="126">
      <pivotArea type="data" outline="0" fieldPosition="0">
        <references count="3">
          <reference field="4294967294" count="1" selected="0">
            <x v="1"/>
          </reference>
          <reference field="7" count="1" selected="0">
            <x v="11"/>
          </reference>
          <reference field="8" count="1" selected="0">
            <x v="1"/>
          </reference>
        </references>
      </pivotArea>
    </chartFormat>
    <chartFormat chart="52" format="127">
      <pivotArea type="data" outline="0" fieldPosition="0">
        <references count="3">
          <reference field="4294967294" count="1" selected="0">
            <x v="1"/>
          </reference>
          <reference field="7" count="1" selected="0">
            <x v="10"/>
          </reference>
          <reference field="8" count="1" selected="0">
            <x v="2"/>
          </reference>
        </references>
      </pivotArea>
    </chartFormat>
    <chartFormat chart="52" format="128">
      <pivotArea type="data" outline="0" fieldPosition="0">
        <references count="3">
          <reference field="4294967294" count="1" selected="0">
            <x v="1"/>
          </reference>
          <reference field="7" count="1" selected="0">
            <x v="10"/>
          </reference>
          <reference field="8" count="1" selected="0">
            <x v="1"/>
          </reference>
        </references>
      </pivotArea>
    </chartFormat>
    <chartFormat chart="52" format="129">
      <pivotArea type="data" outline="0" fieldPosition="0">
        <references count="3">
          <reference field="4294967294" count="1" selected="0">
            <x v="1"/>
          </reference>
          <reference field="7" count="1" selected="0">
            <x v="2"/>
          </reference>
          <reference field="8" count="1" selected="0">
            <x v="2"/>
          </reference>
        </references>
      </pivotArea>
    </chartFormat>
    <chartFormat chart="52" format="130">
      <pivotArea type="data" outline="0" fieldPosition="0">
        <references count="3">
          <reference field="4294967294" count="1" selected="0">
            <x v="1"/>
          </reference>
          <reference field="7" count="1" selected="0">
            <x v="2"/>
          </reference>
          <reference field="8" count="1" selected="0">
            <x v="3"/>
          </reference>
        </references>
      </pivotArea>
    </chartFormat>
    <chartFormat chart="52" format="131">
      <pivotArea type="data" outline="0" fieldPosition="0">
        <references count="3">
          <reference field="4294967294" count="1" selected="0">
            <x v="1"/>
          </reference>
          <reference field="7" count="1" selected="0">
            <x v="9"/>
          </reference>
          <reference field="8" count="1" selected="0">
            <x v="1"/>
          </reference>
        </references>
      </pivotArea>
    </chartFormat>
    <chartFormat chart="52" format="132">
      <pivotArea type="data" outline="0" fieldPosition="0">
        <references count="3">
          <reference field="4294967294" count="1" selected="0">
            <x v="1"/>
          </reference>
          <reference field="7" count="1" selected="0">
            <x v="9"/>
          </reference>
          <reference field="8" count="1" selected="0">
            <x v="3"/>
          </reference>
        </references>
      </pivotArea>
    </chartFormat>
    <chartFormat chart="52" format="133">
      <pivotArea type="data" outline="0" fieldPosition="0">
        <references count="3">
          <reference field="4294967294" count="1" selected="0">
            <x v="1"/>
          </reference>
          <reference field="7" count="1" selected="0">
            <x v="12"/>
          </reference>
          <reference field="8" count="1" selected="0">
            <x v="1"/>
          </reference>
        </references>
      </pivotArea>
    </chartFormat>
    <chartFormat chart="52" format="134">
      <pivotArea type="data" outline="0" fieldPosition="0">
        <references count="3">
          <reference field="4294967294" count="1" selected="0">
            <x v="1"/>
          </reference>
          <reference field="7" count="1" selected="0">
            <x v="1"/>
          </reference>
          <reference field="8" count="1" selected="0">
            <x v="4"/>
          </reference>
        </references>
      </pivotArea>
    </chartFormat>
    <chartFormat chart="52" format="135">
      <pivotArea type="data" outline="0" fieldPosition="0">
        <references count="3">
          <reference field="4294967294" count="1" selected="0">
            <x v="1"/>
          </reference>
          <reference field="7" count="1" selected="0">
            <x v="2"/>
          </reference>
          <reference field="8" count="1" selected="0">
            <x v="4"/>
          </reference>
        </references>
      </pivotArea>
    </chartFormat>
    <chartFormat chart="52" format="136">
      <pivotArea type="data" outline="0" fieldPosition="0">
        <references count="3">
          <reference field="4294967294" count="1" selected="0">
            <x v="1"/>
          </reference>
          <reference field="7" count="1" selected="0">
            <x v="4"/>
          </reference>
          <reference field="8" count="1" selected="0">
            <x v="1"/>
          </reference>
        </references>
      </pivotArea>
    </chartFormat>
    <chartFormat chart="52" format="137">
      <pivotArea type="data" outline="0" fieldPosition="0">
        <references count="3">
          <reference field="4294967294" count="1" selected="0">
            <x v="1"/>
          </reference>
          <reference field="7" count="1" selected="0">
            <x v="4"/>
          </reference>
          <reference field="8" count="1" selected="0">
            <x v="3"/>
          </reference>
        </references>
      </pivotArea>
    </chartFormat>
    <chartFormat chart="52" format="138">
      <pivotArea type="data" outline="0" fieldPosition="0">
        <references count="3">
          <reference field="4294967294" count="1" selected="0">
            <x v="1"/>
          </reference>
          <reference field="7" count="1" selected="0">
            <x v="4"/>
          </reference>
          <reference field="8" count="1" selected="0">
            <x v="2"/>
          </reference>
        </references>
      </pivotArea>
    </chartFormat>
    <chartFormat chart="52" format="139">
      <pivotArea type="data" outline="0" fieldPosition="0">
        <references count="3">
          <reference field="4294967294" count="1" selected="0">
            <x v="1"/>
          </reference>
          <reference field="7" count="1" selected="0">
            <x v="5"/>
          </reference>
          <reference field="8" count="1" selected="0">
            <x v="2"/>
          </reference>
        </references>
      </pivotArea>
    </chartFormat>
    <chartFormat chart="52" format="140">
      <pivotArea type="data" outline="0" fieldPosition="0">
        <references count="3">
          <reference field="4294967294" count="1" selected="0">
            <x v="1"/>
          </reference>
          <reference field="7" count="1" selected="0">
            <x v="3"/>
          </reference>
          <reference field="8" count="1" selected="0">
            <x v="1"/>
          </reference>
        </references>
      </pivotArea>
    </chartFormat>
    <chartFormat chart="142" format="141" series="1">
      <pivotArea type="data" outline="0" fieldPosition="0">
        <references count="2">
          <reference field="4294967294" count="1" selected="0">
            <x v="0"/>
          </reference>
          <reference field="8" count="1" selected="0">
            <x v="1"/>
          </reference>
        </references>
      </pivotArea>
    </chartFormat>
    <chartFormat chart="142" format="142" series="1">
      <pivotArea type="data" outline="0" fieldPosition="0">
        <references count="2">
          <reference field="4294967294" count="1" selected="0">
            <x v="0"/>
          </reference>
          <reference field="8" count="1" selected="0">
            <x v="2"/>
          </reference>
        </references>
      </pivotArea>
    </chartFormat>
    <chartFormat chart="142" format="143" series="1">
      <pivotArea type="data" outline="0" fieldPosition="0">
        <references count="2">
          <reference field="4294967294" count="1" selected="0">
            <x v="0"/>
          </reference>
          <reference field="8" count="1" selected="0">
            <x v="3"/>
          </reference>
        </references>
      </pivotArea>
    </chartFormat>
    <chartFormat chart="142" format="144" series="1">
      <pivotArea type="data" outline="0" fieldPosition="0">
        <references count="2">
          <reference field="4294967294" count="1" selected="0">
            <x v="0"/>
          </reference>
          <reference field="8" count="1" selected="0">
            <x v="4"/>
          </reference>
        </references>
      </pivotArea>
    </chartFormat>
    <chartFormat chart="142" format="145" series="1">
      <pivotArea type="data" outline="0" fieldPosition="0">
        <references count="2">
          <reference field="4294967294" count="1" selected="0">
            <x v="1"/>
          </reference>
          <reference field="8" count="1" selected="0">
            <x v="1"/>
          </reference>
        </references>
      </pivotArea>
    </chartFormat>
    <chartFormat chart="142" format="146">
      <pivotArea type="data" outline="0" fieldPosition="0">
        <references count="3">
          <reference field="4294967294" count="1" selected="0">
            <x v="1"/>
          </reference>
          <reference field="7" count="1" selected="0">
            <x v="3"/>
          </reference>
          <reference field="8" count="1" selected="0">
            <x v="1"/>
          </reference>
        </references>
      </pivotArea>
    </chartFormat>
    <chartFormat chart="142" format="147">
      <pivotArea type="data" outline="0" fieldPosition="0">
        <references count="3">
          <reference field="4294967294" count="1" selected="0">
            <x v="1"/>
          </reference>
          <reference field="7" count="1" selected="0">
            <x v="4"/>
          </reference>
          <reference field="8" count="1" selected="0">
            <x v="1"/>
          </reference>
        </references>
      </pivotArea>
    </chartFormat>
    <chartFormat chart="142" format="148">
      <pivotArea type="data" outline="0" fieldPosition="0">
        <references count="3">
          <reference field="4294967294" count="1" selected="0">
            <x v="1"/>
          </reference>
          <reference field="7" count="1" selected="0">
            <x v="9"/>
          </reference>
          <reference field="8" count="1" selected="0">
            <x v="1"/>
          </reference>
        </references>
      </pivotArea>
    </chartFormat>
    <chartFormat chart="142" format="149">
      <pivotArea type="data" outline="0" fieldPosition="0">
        <references count="3">
          <reference field="4294967294" count="1" selected="0">
            <x v="1"/>
          </reference>
          <reference field="7" count="1" selected="0">
            <x v="10"/>
          </reference>
          <reference field="8" count="1" selected="0">
            <x v="1"/>
          </reference>
        </references>
      </pivotArea>
    </chartFormat>
    <chartFormat chart="142" format="150">
      <pivotArea type="data" outline="0" fieldPosition="0">
        <references count="3">
          <reference field="4294967294" count="1" selected="0">
            <x v="1"/>
          </reference>
          <reference field="7" count="1" selected="0">
            <x v="11"/>
          </reference>
          <reference field="8" count="1" selected="0">
            <x v="1"/>
          </reference>
        </references>
      </pivotArea>
    </chartFormat>
    <chartFormat chart="142" format="151">
      <pivotArea type="data" outline="0" fieldPosition="0">
        <references count="3">
          <reference field="4294967294" count="1" selected="0">
            <x v="1"/>
          </reference>
          <reference field="7" count="1" selected="0">
            <x v="12"/>
          </reference>
          <reference field="8" count="1" selected="0">
            <x v="1"/>
          </reference>
        </references>
      </pivotArea>
    </chartFormat>
    <chartFormat chart="142" format="152" series="1">
      <pivotArea type="data" outline="0" fieldPosition="0">
        <references count="2">
          <reference field="4294967294" count="1" selected="0">
            <x v="1"/>
          </reference>
          <reference field="8" count="1" selected="0">
            <x v="2"/>
          </reference>
        </references>
      </pivotArea>
    </chartFormat>
    <chartFormat chart="142" format="153">
      <pivotArea type="data" outline="0" fieldPosition="0">
        <references count="3">
          <reference field="4294967294" count="1" selected="0">
            <x v="1"/>
          </reference>
          <reference field="7" count="1" selected="0">
            <x v="2"/>
          </reference>
          <reference field="8" count="1" selected="0">
            <x v="2"/>
          </reference>
        </references>
      </pivotArea>
    </chartFormat>
    <chartFormat chart="142" format="154">
      <pivotArea type="data" outline="0" fieldPosition="0">
        <references count="3">
          <reference field="4294967294" count="1" selected="0">
            <x v="1"/>
          </reference>
          <reference field="7" count="1" selected="0">
            <x v="4"/>
          </reference>
          <reference field="8" count="1" selected="0">
            <x v="2"/>
          </reference>
        </references>
      </pivotArea>
    </chartFormat>
    <chartFormat chart="142" format="155">
      <pivotArea type="data" outline="0" fieldPosition="0">
        <references count="3">
          <reference field="4294967294" count="1" selected="0">
            <x v="1"/>
          </reference>
          <reference field="7" count="1" selected="0">
            <x v="5"/>
          </reference>
          <reference field="8" count="1" selected="0">
            <x v="2"/>
          </reference>
        </references>
      </pivotArea>
    </chartFormat>
    <chartFormat chart="142" format="156">
      <pivotArea type="data" outline="0" fieldPosition="0">
        <references count="3">
          <reference field="4294967294" count="1" selected="0">
            <x v="1"/>
          </reference>
          <reference field="7" count="1" selected="0">
            <x v="10"/>
          </reference>
          <reference field="8" count="1" selected="0">
            <x v="2"/>
          </reference>
        </references>
      </pivotArea>
    </chartFormat>
    <chartFormat chart="142" format="157" series="1">
      <pivotArea type="data" outline="0" fieldPosition="0">
        <references count="2">
          <reference field="4294967294" count="1" selected="0">
            <x v="1"/>
          </reference>
          <reference field="8" count="1" selected="0">
            <x v="3"/>
          </reference>
        </references>
      </pivotArea>
    </chartFormat>
    <chartFormat chart="142" format="158">
      <pivotArea type="data" outline="0" fieldPosition="0">
        <references count="3">
          <reference field="4294967294" count="1" selected="0">
            <x v="1"/>
          </reference>
          <reference field="7" count="1" selected="0">
            <x v="2"/>
          </reference>
          <reference field="8" count="1" selected="0">
            <x v="3"/>
          </reference>
        </references>
      </pivotArea>
    </chartFormat>
    <chartFormat chart="142" format="159">
      <pivotArea type="data" outline="0" fieldPosition="0">
        <references count="3">
          <reference field="4294967294" count="1" selected="0">
            <x v="1"/>
          </reference>
          <reference field="7" count="1" selected="0">
            <x v="3"/>
          </reference>
          <reference field="8" count="1" selected="0">
            <x v="3"/>
          </reference>
        </references>
      </pivotArea>
    </chartFormat>
    <chartFormat chart="142" format="160">
      <pivotArea type="data" outline="0" fieldPosition="0">
        <references count="3">
          <reference field="4294967294" count="1" selected="0">
            <x v="1"/>
          </reference>
          <reference field="7" count="1" selected="0">
            <x v="4"/>
          </reference>
          <reference field="8" count="1" selected="0">
            <x v="3"/>
          </reference>
        </references>
      </pivotArea>
    </chartFormat>
    <chartFormat chart="142" format="161">
      <pivotArea type="data" outline="0" fieldPosition="0">
        <references count="3">
          <reference field="4294967294" count="1" selected="0">
            <x v="1"/>
          </reference>
          <reference field="7" count="1" selected="0">
            <x v="9"/>
          </reference>
          <reference field="8" count="1" selected="0">
            <x v="3"/>
          </reference>
        </references>
      </pivotArea>
    </chartFormat>
    <chartFormat chart="142" format="162">
      <pivotArea type="data" outline="0" fieldPosition="0">
        <references count="3">
          <reference field="4294967294" count="1" selected="0">
            <x v="1"/>
          </reference>
          <reference field="7" count="1" selected="0">
            <x v="11"/>
          </reference>
          <reference field="8" count="1" selected="0">
            <x v="3"/>
          </reference>
        </references>
      </pivotArea>
    </chartFormat>
    <chartFormat chart="142" format="163" series="1">
      <pivotArea type="data" outline="0" fieldPosition="0">
        <references count="2">
          <reference field="4294967294" count="1" selected="0">
            <x v="1"/>
          </reference>
          <reference field="8" count="1" selected="0">
            <x v="4"/>
          </reference>
        </references>
      </pivotArea>
    </chartFormat>
    <chartFormat chart="142" format="164">
      <pivotArea type="data" outline="0" fieldPosition="0">
        <references count="3">
          <reference field="4294967294" count="1" selected="0">
            <x v="1"/>
          </reference>
          <reference field="7" count="1" selected="0">
            <x v="1"/>
          </reference>
          <reference field="8" count="1" selected="0">
            <x v="4"/>
          </reference>
        </references>
      </pivotArea>
    </chartFormat>
    <chartFormat chart="142" format="165">
      <pivotArea type="data" outline="0" fieldPosition="0">
        <references count="3">
          <reference field="4294967294" count="1" selected="0">
            <x v="1"/>
          </reference>
          <reference field="7" count="1" selected="0">
            <x v="2"/>
          </reference>
          <reference field="8" count="1" selected="0">
            <x v="4"/>
          </reference>
        </references>
      </pivotArea>
    </chartFormat>
    <chartFormat chart="143" format="166" series="1">
      <pivotArea type="data" outline="0" fieldPosition="0">
        <references count="2">
          <reference field="4294967294" count="1" selected="0">
            <x v="0"/>
          </reference>
          <reference field="8" count="1" selected="0">
            <x v="1"/>
          </reference>
        </references>
      </pivotArea>
    </chartFormat>
    <chartFormat chart="143" format="167" series="1">
      <pivotArea type="data" outline="0" fieldPosition="0">
        <references count="2">
          <reference field="4294967294" count="1" selected="0">
            <x v="0"/>
          </reference>
          <reference field="8" count="1" selected="0">
            <x v="2"/>
          </reference>
        </references>
      </pivotArea>
    </chartFormat>
    <chartFormat chart="143" format="168" series="1">
      <pivotArea type="data" outline="0" fieldPosition="0">
        <references count="2">
          <reference field="4294967294" count="1" selected="0">
            <x v="0"/>
          </reference>
          <reference field="8" count="1" selected="0">
            <x v="3"/>
          </reference>
        </references>
      </pivotArea>
    </chartFormat>
    <chartFormat chart="143" format="169" series="1">
      <pivotArea type="data" outline="0" fieldPosition="0">
        <references count="2">
          <reference field="4294967294" count="1" selected="0">
            <x v="0"/>
          </reference>
          <reference field="8" count="1" selected="0">
            <x v="4"/>
          </reference>
        </references>
      </pivotArea>
    </chartFormat>
    <chartFormat chart="143" format="170" series="1">
      <pivotArea type="data" outline="0" fieldPosition="0">
        <references count="2">
          <reference field="4294967294" count="1" selected="0">
            <x v="1"/>
          </reference>
          <reference field="8" count="1" selected="0">
            <x v="1"/>
          </reference>
        </references>
      </pivotArea>
    </chartFormat>
    <chartFormat chart="143" format="171">
      <pivotArea type="data" outline="0" fieldPosition="0">
        <references count="3">
          <reference field="4294967294" count="1" selected="0">
            <x v="1"/>
          </reference>
          <reference field="7" count="1" selected="0">
            <x v="3"/>
          </reference>
          <reference field="8" count="1" selected="0">
            <x v="1"/>
          </reference>
        </references>
      </pivotArea>
    </chartFormat>
    <chartFormat chart="143" format="172">
      <pivotArea type="data" outline="0" fieldPosition="0">
        <references count="3">
          <reference field="4294967294" count="1" selected="0">
            <x v="1"/>
          </reference>
          <reference field="7" count="1" selected="0">
            <x v="4"/>
          </reference>
          <reference field="8" count="1" selected="0">
            <x v="1"/>
          </reference>
        </references>
      </pivotArea>
    </chartFormat>
    <chartFormat chart="143" format="173">
      <pivotArea type="data" outline="0" fieldPosition="0">
        <references count="3">
          <reference field="4294967294" count="1" selected="0">
            <x v="1"/>
          </reference>
          <reference field="7" count="1" selected="0">
            <x v="9"/>
          </reference>
          <reference field="8" count="1" selected="0">
            <x v="1"/>
          </reference>
        </references>
      </pivotArea>
    </chartFormat>
    <chartFormat chart="143" format="174">
      <pivotArea type="data" outline="0" fieldPosition="0">
        <references count="3">
          <reference field="4294967294" count="1" selected="0">
            <x v="1"/>
          </reference>
          <reference field="7" count="1" selected="0">
            <x v="10"/>
          </reference>
          <reference field="8" count="1" selected="0">
            <x v="1"/>
          </reference>
        </references>
      </pivotArea>
    </chartFormat>
    <chartFormat chart="143" format="175">
      <pivotArea type="data" outline="0" fieldPosition="0">
        <references count="3">
          <reference field="4294967294" count="1" selected="0">
            <x v="1"/>
          </reference>
          <reference field="7" count="1" selected="0">
            <x v="11"/>
          </reference>
          <reference field="8" count="1" selected="0">
            <x v="1"/>
          </reference>
        </references>
      </pivotArea>
    </chartFormat>
    <chartFormat chart="143" format="176">
      <pivotArea type="data" outline="0" fieldPosition="0">
        <references count="3">
          <reference field="4294967294" count="1" selected="0">
            <x v="1"/>
          </reference>
          <reference field="7" count="1" selected="0">
            <x v="12"/>
          </reference>
          <reference field="8" count="1" selected="0">
            <x v="1"/>
          </reference>
        </references>
      </pivotArea>
    </chartFormat>
    <chartFormat chart="143" format="177" series="1">
      <pivotArea type="data" outline="0" fieldPosition="0">
        <references count="2">
          <reference field="4294967294" count="1" selected="0">
            <x v="1"/>
          </reference>
          <reference field="8" count="1" selected="0">
            <x v="2"/>
          </reference>
        </references>
      </pivotArea>
    </chartFormat>
    <chartFormat chart="143" format="178">
      <pivotArea type="data" outline="0" fieldPosition="0">
        <references count="3">
          <reference field="4294967294" count="1" selected="0">
            <x v="1"/>
          </reference>
          <reference field="7" count="1" selected="0">
            <x v="2"/>
          </reference>
          <reference field="8" count="1" selected="0">
            <x v="2"/>
          </reference>
        </references>
      </pivotArea>
    </chartFormat>
    <chartFormat chart="143" format="179">
      <pivotArea type="data" outline="0" fieldPosition="0">
        <references count="3">
          <reference field="4294967294" count="1" selected="0">
            <x v="1"/>
          </reference>
          <reference field="7" count="1" selected="0">
            <x v="4"/>
          </reference>
          <reference field="8" count="1" selected="0">
            <x v="2"/>
          </reference>
        </references>
      </pivotArea>
    </chartFormat>
    <chartFormat chart="143" format="180">
      <pivotArea type="data" outline="0" fieldPosition="0">
        <references count="3">
          <reference field="4294967294" count="1" selected="0">
            <x v="1"/>
          </reference>
          <reference field="7" count="1" selected="0">
            <x v="5"/>
          </reference>
          <reference field="8" count="1" selected="0">
            <x v="2"/>
          </reference>
        </references>
      </pivotArea>
    </chartFormat>
    <chartFormat chart="143" format="181">
      <pivotArea type="data" outline="0" fieldPosition="0">
        <references count="3">
          <reference field="4294967294" count="1" selected="0">
            <x v="1"/>
          </reference>
          <reference field="7" count="1" selected="0">
            <x v="10"/>
          </reference>
          <reference field="8" count="1" selected="0">
            <x v="2"/>
          </reference>
        </references>
      </pivotArea>
    </chartFormat>
    <chartFormat chart="143" format="182" series="1">
      <pivotArea type="data" outline="0" fieldPosition="0">
        <references count="2">
          <reference field="4294967294" count="1" selected="0">
            <x v="1"/>
          </reference>
          <reference field="8" count="1" selected="0">
            <x v="3"/>
          </reference>
        </references>
      </pivotArea>
    </chartFormat>
    <chartFormat chart="143" format="183">
      <pivotArea type="data" outline="0" fieldPosition="0">
        <references count="3">
          <reference field="4294967294" count="1" selected="0">
            <x v="1"/>
          </reference>
          <reference field="7" count="1" selected="0">
            <x v="2"/>
          </reference>
          <reference field="8" count="1" selected="0">
            <x v="3"/>
          </reference>
        </references>
      </pivotArea>
    </chartFormat>
    <chartFormat chart="143" format="184">
      <pivotArea type="data" outline="0" fieldPosition="0">
        <references count="3">
          <reference field="4294967294" count="1" selected="0">
            <x v="1"/>
          </reference>
          <reference field="7" count="1" selected="0">
            <x v="3"/>
          </reference>
          <reference field="8" count="1" selected="0">
            <x v="3"/>
          </reference>
        </references>
      </pivotArea>
    </chartFormat>
    <chartFormat chart="143" format="185">
      <pivotArea type="data" outline="0" fieldPosition="0">
        <references count="3">
          <reference field="4294967294" count="1" selected="0">
            <x v="1"/>
          </reference>
          <reference field="7" count="1" selected="0">
            <x v="4"/>
          </reference>
          <reference field="8" count="1" selected="0">
            <x v="3"/>
          </reference>
        </references>
      </pivotArea>
    </chartFormat>
    <chartFormat chart="143" format="186">
      <pivotArea type="data" outline="0" fieldPosition="0">
        <references count="3">
          <reference field="4294967294" count="1" selected="0">
            <x v="1"/>
          </reference>
          <reference field="7" count="1" selected="0">
            <x v="9"/>
          </reference>
          <reference field="8" count="1" selected="0">
            <x v="3"/>
          </reference>
        </references>
      </pivotArea>
    </chartFormat>
    <chartFormat chart="143" format="187">
      <pivotArea type="data" outline="0" fieldPosition="0">
        <references count="3">
          <reference field="4294967294" count="1" selected="0">
            <x v="1"/>
          </reference>
          <reference field="7" count="1" selected="0">
            <x v="11"/>
          </reference>
          <reference field="8" count="1" selected="0">
            <x v="3"/>
          </reference>
        </references>
      </pivotArea>
    </chartFormat>
    <chartFormat chart="143" format="188" series="1">
      <pivotArea type="data" outline="0" fieldPosition="0">
        <references count="2">
          <reference field="4294967294" count="1" selected="0">
            <x v="1"/>
          </reference>
          <reference field="8" count="1" selected="0">
            <x v="4"/>
          </reference>
        </references>
      </pivotArea>
    </chartFormat>
    <chartFormat chart="143" format="189">
      <pivotArea type="data" outline="0" fieldPosition="0">
        <references count="3">
          <reference field="4294967294" count="1" selected="0">
            <x v="1"/>
          </reference>
          <reference field="7" count="1" selected="0">
            <x v="1"/>
          </reference>
          <reference field="8" count="1" selected="0">
            <x v="4"/>
          </reference>
        </references>
      </pivotArea>
    </chartFormat>
    <chartFormat chart="143" format="190">
      <pivotArea type="data" outline="0" fieldPosition="0">
        <references count="3">
          <reference field="4294967294" count="1" selected="0">
            <x v="1"/>
          </reference>
          <reference field="7" count="1" selected="0">
            <x v="2"/>
          </reference>
          <reference field="8"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63"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66"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63"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66"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63"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66"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63"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66"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39" totalsRowShown="0" headerRowDxfId="10" headerRowBorderDxfId="8" tableBorderDxfId="9" totalsRowBorderDxfId="7">
  <autoFilter ref="A1:G39" xr:uid="{0CC1F88B-3AC7-4F1B-8523-65FE854EB900}"/>
  <tableColumns count="7">
    <tableColumn id="1" xr3:uid="{DF0CB27A-5837-454C-B2DD-277775B6FA27}" name="数据年月" dataDxfId="6"/>
    <tableColumn id="2" xr3:uid="{BBEF57B6-BB8E-4B33-B6D1-8C2B401258F8}" name="商品编码" dataDxfId="5"/>
    <tableColumn id="3" xr3:uid="{D64BEBF6-D119-4CFD-839D-38892BC0D487}" name="商品名称" dataDxfId="4"/>
    <tableColumn id="4" xr3:uid="{307A61F8-2A12-4B20-A298-D58137A26462}" name="台数" dataDxfId="3"/>
    <tableColumn id="5" xr3:uid="{5FC44820-A4EE-4F31-A470-B10DD164594B}" name="进口金额（人民币）" dataDxfId="2"/>
    <tableColumn id="6" xr3:uid="{D7618A53-7001-924E-9E58-7CCDC758631D}" name="YEAR" dataDxfId="1">
      <calculatedColumnFormula>YEAR(A2)</calculatedColumnFormula>
    </tableColumn>
    <tableColumn id="7" xr3:uid="{0CF9C6EE-3553-F744-9543-7A942BFDBB3C}" name="MONTH" dataDxfId="0">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Q1"/>
  <sheetViews>
    <sheetView tabSelected="1" topLeftCell="A12" zoomScale="55" zoomScaleNormal="55" workbookViewId="0">
      <selection activeCell="R7" sqref="R7"/>
    </sheetView>
  </sheetViews>
  <sheetFormatPr defaultColWidth="9" defaultRowHeight="14.4"/>
  <cols>
    <col min="1" max="1" width="41.77734375" bestFit="1" customWidth="1"/>
    <col min="2" max="3" width="20.44140625" bestFit="1" customWidth="1"/>
    <col min="4" max="4" width="11.44140625" bestFit="1" customWidth="1"/>
    <col min="5" max="5" width="30.5546875" bestFit="1" customWidth="1"/>
    <col min="6" max="6" width="30.77734375" customWidth="1"/>
    <col min="7" max="8" width="20.44140625" bestFit="1" customWidth="1"/>
    <col min="9" max="9" width="15.5546875" bestFit="1" customWidth="1"/>
    <col min="10" max="10" width="30.5546875" bestFit="1" customWidth="1"/>
    <col min="11" max="11" width="9" customWidth="1"/>
  </cols>
  <sheetData>
    <row r="1" spans="17:17" ht="15.6">
      <c r="Q1" s="15" t="s">
        <v>0</v>
      </c>
    </row>
  </sheetData>
  <phoneticPr fontId="1" type="noConversion"/>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opLeftCell="E1" zoomScale="55" zoomScaleNormal="55" workbookViewId="0">
      <selection activeCell="AE29" sqref="AE29"/>
    </sheetView>
  </sheetViews>
  <sheetFormatPr defaultColWidth="11.5546875" defaultRowHeight="14.4"/>
  <sheetData>
    <row r="2" spans="30:30" ht="25.8">
      <c r="AD2" s="24"/>
    </row>
    <row r="39" spans="30:30" ht="25.8">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S39"/>
  <sheetViews>
    <sheetView topLeftCell="A22" zoomScale="120" zoomScaleNormal="120" workbookViewId="0">
      <selection activeCell="H37" sqref="H37:H40"/>
    </sheetView>
  </sheetViews>
  <sheetFormatPr defaultColWidth="9" defaultRowHeight="14.4"/>
  <cols>
    <col min="1" max="3" width="13.44140625" bestFit="1" customWidth="1"/>
    <col min="5" max="5" width="23.5546875" bestFit="1" customWidth="1"/>
    <col min="6" max="7" width="23.5546875" style="27" customWidth="1"/>
    <col min="9" max="9" width="19.77734375" bestFit="1" customWidth="1"/>
    <col min="10" max="17" width="26" bestFit="1" customWidth="1"/>
    <col min="18" max="18" width="30.88671875" bestFit="1" customWidth="1"/>
    <col min="19" max="19" width="16.21875" bestFit="1" customWidth="1"/>
  </cols>
  <sheetData>
    <row r="1" spans="1:19">
      <c r="A1" s="5" t="s">
        <v>1</v>
      </c>
      <c r="B1" s="6" t="s">
        <v>2</v>
      </c>
      <c r="C1" s="6" t="s">
        <v>3</v>
      </c>
      <c r="D1" s="6" t="s">
        <v>11</v>
      </c>
      <c r="E1" s="7" t="s">
        <v>12</v>
      </c>
      <c r="F1" s="25" t="s">
        <v>65</v>
      </c>
      <c r="G1" s="26" t="s">
        <v>66</v>
      </c>
      <c r="J1" s="11" t="s">
        <v>4</v>
      </c>
      <c r="K1" s="11" t="s">
        <v>5</v>
      </c>
    </row>
    <row r="2" spans="1:19">
      <c r="A2" s="14">
        <v>44562</v>
      </c>
      <c r="B2" s="2">
        <v>84798962</v>
      </c>
      <c r="C2" s="1" t="s">
        <v>6</v>
      </c>
      <c r="D2" s="12">
        <v>1273</v>
      </c>
      <c r="E2" s="12">
        <v>1133836205</v>
      </c>
      <c r="F2" s="28">
        <f>YEAR(A2)</f>
        <v>2022</v>
      </c>
      <c r="G2" s="28">
        <f>MONTH(A2)</f>
        <v>1</v>
      </c>
      <c r="J2" t="s">
        <v>69</v>
      </c>
      <c r="L2" t="s">
        <v>70</v>
      </c>
      <c r="N2" t="s">
        <v>71</v>
      </c>
      <c r="P2" t="s">
        <v>72</v>
      </c>
      <c r="R2" t="s">
        <v>73</v>
      </c>
      <c r="S2" t="s">
        <v>74</v>
      </c>
    </row>
    <row r="3" spans="1:19">
      <c r="A3" s="14">
        <v>44593</v>
      </c>
      <c r="B3" s="2">
        <v>84798962</v>
      </c>
      <c r="C3" s="1" t="s">
        <v>6</v>
      </c>
      <c r="D3" s="12">
        <v>790</v>
      </c>
      <c r="E3" s="12">
        <v>671909522</v>
      </c>
      <c r="F3" s="28">
        <f t="shared" ref="F3:F38" si="0">YEAR(A3)</f>
        <v>2022</v>
      </c>
      <c r="G3" s="28">
        <f t="shared" ref="G3:G28" si="1">MONTH(A3)</f>
        <v>2</v>
      </c>
      <c r="I3" s="11" t="s">
        <v>7</v>
      </c>
      <c r="J3" t="s">
        <v>8</v>
      </c>
      <c r="K3" t="s">
        <v>9</v>
      </c>
      <c r="L3" t="s">
        <v>8</v>
      </c>
      <c r="M3" t="s">
        <v>9</v>
      </c>
      <c r="N3" t="s">
        <v>8</v>
      </c>
      <c r="O3" t="s">
        <v>9</v>
      </c>
      <c r="P3" t="s">
        <v>8</v>
      </c>
      <c r="Q3" t="s">
        <v>9</v>
      </c>
    </row>
    <row r="4" spans="1:19">
      <c r="A4" s="14">
        <v>44621</v>
      </c>
      <c r="B4" s="2">
        <v>84798962</v>
      </c>
      <c r="C4" s="1" t="s">
        <v>6</v>
      </c>
      <c r="D4" s="12">
        <v>1680</v>
      </c>
      <c r="E4" s="12">
        <v>1582113796</v>
      </c>
      <c r="F4" s="28">
        <f t="shared" si="0"/>
        <v>2022</v>
      </c>
      <c r="G4" s="28">
        <f t="shared" si="1"/>
        <v>3</v>
      </c>
      <c r="I4" t="s">
        <v>75</v>
      </c>
      <c r="J4" s="3">
        <v>1133836205</v>
      </c>
      <c r="K4" s="3">
        <v>1273</v>
      </c>
      <c r="L4" s="3">
        <v>563858633</v>
      </c>
      <c r="M4" s="3">
        <v>594</v>
      </c>
      <c r="N4" s="3">
        <v>684886046</v>
      </c>
      <c r="O4" s="3">
        <v>796</v>
      </c>
      <c r="P4" s="3">
        <v>806533266</v>
      </c>
      <c r="Q4" s="3">
        <v>1084</v>
      </c>
      <c r="R4" s="3">
        <v>3189114150</v>
      </c>
      <c r="S4" s="3">
        <v>3747</v>
      </c>
    </row>
    <row r="5" spans="1:19">
      <c r="A5" s="14">
        <v>44652</v>
      </c>
      <c r="B5" s="2">
        <v>84798962</v>
      </c>
      <c r="C5" s="1" t="s">
        <v>6</v>
      </c>
      <c r="D5" s="12">
        <v>1346</v>
      </c>
      <c r="E5" s="12">
        <v>1162237598</v>
      </c>
      <c r="F5" s="28">
        <f t="shared" si="0"/>
        <v>2022</v>
      </c>
      <c r="G5" s="28">
        <f t="shared" si="1"/>
        <v>4</v>
      </c>
      <c r="I5" t="s">
        <v>76</v>
      </c>
      <c r="J5" s="3">
        <v>671909522</v>
      </c>
      <c r="K5" s="3">
        <v>790</v>
      </c>
      <c r="L5" s="3">
        <v>626594515</v>
      </c>
      <c r="M5" s="3">
        <v>724</v>
      </c>
      <c r="N5" s="3">
        <v>425456191</v>
      </c>
      <c r="O5" s="3">
        <v>545</v>
      </c>
      <c r="P5" s="3">
        <v>724727768</v>
      </c>
      <c r="Q5" s="3">
        <v>1094</v>
      </c>
      <c r="R5" s="3">
        <v>2448687996</v>
      </c>
      <c r="S5" s="3">
        <v>3153</v>
      </c>
    </row>
    <row r="6" spans="1:19">
      <c r="A6" s="14">
        <v>44682</v>
      </c>
      <c r="B6" s="8">
        <v>84798962</v>
      </c>
      <c r="C6" s="9" t="s">
        <v>6</v>
      </c>
      <c r="D6" s="13">
        <v>1481</v>
      </c>
      <c r="E6" s="13">
        <v>1199261318</v>
      </c>
      <c r="F6" s="28">
        <f t="shared" si="0"/>
        <v>2022</v>
      </c>
      <c r="G6" s="28">
        <f t="shared" si="1"/>
        <v>5</v>
      </c>
      <c r="I6" t="s">
        <v>77</v>
      </c>
      <c r="J6" s="3">
        <v>1582113796</v>
      </c>
      <c r="K6" s="3">
        <v>1680</v>
      </c>
      <c r="L6" s="3">
        <v>902759832</v>
      </c>
      <c r="M6" s="3">
        <v>868</v>
      </c>
      <c r="N6" s="3">
        <v>790478375</v>
      </c>
      <c r="O6" s="3">
        <v>1067</v>
      </c>
      <c r="P6" s="3"/>
      <c r="Q6" s="3"/>
      <c r="R6" s="3">
        <v>3275352003</v>
      </c>
      <c r="S6" s="3">
        <v>3615</v>
      </c>
    </row>
    <row r="7" spans="1:19">
      <c r="A7" s="14">
        <v>44713</v>
      </c>
      <c r="B7" s="8">
        <v>84798962</v>
      </c>
      <c r="C7" s="9" t="s">
        <v>6</v>
      </c>
      <c r="D7" s="13">
        <v>1813</v>
      </c>
      <c r="E7" s="13">
        <v>1507977751</v>
      </c>
      <c r="F7" s="28">
        <f t="shared" si="0"/>
        <v>2022</v>
      </c>
      <c r="G7" s="28">
        <f t="shared" si="1"/>
        <v>6</v>
      </c>
      <c r="I7" t="s">
        <v>78</v>
      </c>
      <c r="J7" s="3">
        <v>1162237598</v>
      </c>
      <c r="K7" s="3">
        <v>1346</v>
      </c>
      <c r="L7" s="3">
        <v>936167828</v>
      </c>
      <c r="M7" s="3">
        <v>1149</v>
      </c>
      <c r="N7" s="3">
        <v>987977571</v>
      </c>
      <c r="O7" s="3">
        <v>1307</v>
      </c>
      <c r="P7" s="3"/>
      <c r="Q7" s="3"/>
      <c r="R7" s="3">
        <v>3086382997</v>
      </c>
      <c r="S7" s="3">
        <v>3802</v>
      </c>
    </row>
    <row r="8" spans="1:19">
      <c r="A8" s="14">
        <v>44743</v>
      </c>
      <c r="B8" s="8">
        <v>84798962</v>
      </c>
      <c r="C8" s="9" t="s">
        <v>6</v>
      </c>
      <c r="D8" s="13">
        <v>1666</v>
      </c>
      <c r="E8" s="13">
        <v>1488653276</v>
      </c>
      <c r="F8" s="28">
        <f t="shared" si="0"/>
        <v>2022</v>
      </c>
      <c r="G8" s="28">
        <f t="shared" si="1"/>
        <v>7</v>
      </c>
      <c r="I8" t="s">
        <v>79</v>
      </c>
      <c r="J8" s="3">
        <v>1199261318</v>
      </c>
      <c r="K8" s="3">
        <v>1481</v>
      </c>
      <c r="L8" s="3">
        <v>784918762</v>
      </c>
      <c r="M8" s="3">
        <v>946</v>
      </c>
      <c r="N8" s="3">
        <v>906749498</v>
      </c>
      <c r="O8" s="3">
        <v>1166</v>
      </c>
      <c r="P8" s="3"/>
      <c r="Q8" s="3"/>
      <c r="R8" s="3">
        <v>2890929578</v>
      </c>
      <c r="S8" s="3">
        <v>3593</v>
      </c>
    </row>
    <row r="9" spans="1:19">
      <c r="A9" s="14">
        <v>44774</v>
      </c>
      <c r="B9" s="8">
        <v>84798962</v>
      </c>
      <c r="C9" s="9" t="s">
        <v>6</v>
      </c>
      <c r="D9" s="13">
        <v>1295</v>
      </c>
      <c r="E9" s="13">
        <v>1172752758</v>
      </c>
      <c r="F9" s="28">
        <f t="shared" si="0"/>
        <v>2022</v>
      </c>
      <c r="G9" s="28">
        <f t="shared" si="1"/>
        <v>8</v>
      </c>
      <c r="I9" t="s">
        <v>80</v>
      </c>
      <c r="J9" s="3">
        <v>1507977751</v>
      </c>
      <c r="K9" s="3">
        <v>1813</v>
      </c>
      <c r="L9" s="3">
        <v>990018684</v>
      </c>
      <c r="M9" s="3">
        <v>1029</v>
      </c>
      <c r="N9" s="3">
        <v>1060059842</v>
      </c>
      <c r="O9" s="3">
        <v>1241</v>
      </c>
      <c r="P9" s="3"/>
      <c r="Q9" s="3"/>
      <c r="R9" s="3">
        <v>3558056277</v>
      </c>
      <c r="S9" s="3">
        <v>4083</v>
      </c>
    </row>
    <row r="10" spans="1:19">
      <c r="A10" s="14">
        <v>44805</v>
      </c>
      <c r="B10" s="2">
        <v>84798962</v>
      </c>
      <c r="C10" s="1" t="s">
        <v>6</v>
      </c>
      <c r="D10" s="12">
        <v>1185</v>
      </c>
      <c r="E10" s="12">
        <v>1005090594</v>
      </c>
      <c r="F10" s="28">
        <f t="shared" si="0"/>
        <v>2022</v>
      </c>
      <c r="G10" s="28">
        <f t="shared" si="1"/>
        <v>9</v>
      </c>
      <c r="I10" t="s">
        <v>81</v>
      </c>
      <c r="J10" s="3">
        <v>1488653276</v>
      </c>
      <c r="K10" s="3">
        <v>1666</v>
      </c>
      <c r="L10" s="3">
        <v>753315739</v>
      </c>
      <c r="M10" s="3">
        <v>1075</v>
      </c>
      <c r="N10" s="3">
        <v>1067909971</v>
      </c>
      <c r="O10" s="3">
        <v>1522</v>
      </c>
      <c r="P10" s="3"/>
      <c r="Q10" s="3"/>
      <c r="R10" s="3">
        <v>3309878986</v>
      </c>
      <c r="S10" s="3">
        <v>4263</v>
      </c>
    </row>
    <row r="11" spans="1:19">
      <c r="A11" s="14">
        <v>44835</v>
      </c>
      <c r="B11" s="8">
        <v>84798962</v>
      </c>
      <c r="C11" s="9" t="s">
        <v>6</v>
      </c>
      <c r="D11" s="13">
        <v>983</v>
      </c>
      <c r="E11" s="13">
        <v>810326436</v>
      </c>
      <c r="F11" s="28">
        <f t="shared" si="0"/>
        <v>2022</v>
      </c>
      <c r="G11" s="28">
        <f t="shared" si="1"/>
        <v>10</v>
      </c>
      <c r="I11" t="s">
        <v>82</v>
      </c>
      <c r="J11" s="3">
        <v>1172752758</v>
      </c>
      <c r="K11" s="3">
        <v>1295</v>
      </c>
      <c r="L11" s="3">
        <v>725578936</v>
      </c>
      <c r="M11" s="3">
        <v>908</v>
      </c>
      <c r="N11" s="3">
        <v>798223277</v>
      </c>
      <c r="O11" s="3">
        <v>1061</v>
      </c>
      <c r="P11" s="3"/>
      <c r="Q11" s="3"/>
      <c r="R11" s="3">
        <v>2696554971</v>
      </c>
      <c r="S11" s="3">
        <v>3264</v>
      </c>
    </row>
    <row r="12" spans="1:19">
      <c r="A12" s="14">
        <v>44866</v>
      </c>
      <c r="B12" s="8">
        <v>84798962</v>
      </c>
      <c r="C12" s="1" t="s">
        <v>6</v>
      </c>
      <c r="D12" s="12">
        <v>996</v>
      </c>
      <c r="E12" s="12">
        <v>790435167</v>
      </c>
      <c r="F12" s="28">
        <f t="shared" si="0"/>
        <v>2022</v>
      </c>
      <c r="G12" s="28">
        <f t="shared" si="1"/>
        <v>11</v>
      </c>
      <c r="I12" t="s">
        <v>83</v>
      </c>
      <c r="J12" s="3">
        <v>1005090594</v>
      </c>
      <c r="K12" s="3">
        <v>1185</v>
      </c>
      <c r="L12" s="3">
        <v>603898236</v>
      </c>
      <c r="M12" s="3">
        <v>866</v>
      </c>
      <c r="N12" s="3">
        <v>815497182</v>
      </c>
      <c r="O12" s="3">
        <v>1130</v>
      </c>
      <c r="P12" s="3"/>
      <c r="Q12" s="3"/>
      <c r="R12" s="3">
        <v>2424486012</v>
      </c>
      <c r="S12" s="3">
        <v>3181</v>
      </c>
    </row>
    <row r="13" spans="1:19">
      <c r="A13" s="14">
        <v>44896</v>
      </c>
      <c r="B13" s="8">
        <v>84798962</v>
      </c>
      <c r="C13" s="1" t="s">
        <v>6</v>
      </c>
      <c r="D13" s="12">
        <v>937</v>
      </c>
      <c r="E13" s="12">
        <v>947867895</v>
      </c>
      <c r="F13" s="28">
        <f t="shared" si="0"/>
        <v>2022</v>
      </c>
      <c r="G13" s="28">
        <f t="shared" si="1"/>
        <v>12</v>
      </c>
      <c r="I13" t="s">
        <v>84</v>
      </c>
      <c r="J13" s="3">
        <v>810326436</v>
      </c>
      <c r="K13" s="3">
        <v>983</v>
      </c>
      <c r="L13" s="3">
        <v>691942839</v>
      </c>
      <c r="M13" s="3">
        <v>985</v>
      </c>
      <c r="N13" s="3">
        <v>858639426</v>
      </c>
      <c r="O13" s="3">
        <v>1092</v>
      </c>
      <c r="P13" s="3"/>
      <c r="Q13" s="3"/>
      <c r="R13" s="3">
        <v>2360908701</v>
      </c>
      <c r="S13" s="3">
        <v>3060</v>
      </c>
    </row>
    <row r="14" spans="1:19">
      <c r="A14" s="14">
        <v>44927</v>
      </c>
      <c r="B14" s="8">
        <v>84798962</v>
      </c>
      <c r="C14" s="1" t="s">
        <v>6</v>
      </c>
      <c r="D14" s="12">
        <v>594</v>
      </c>
      <c r="E14" s="4">
        <v>563858633</v>
      </c>
      <c r="F14" s="28">
        <f t="shared" si="0"/>
        <v>2023</v>
      </c>
      <c r="G14" s="28">
        <f t="shared" si="1"/>
        <v>1</v>
      </c>
      <c r="I14" t="s">
        <v>85</v>
      </c>
      <c r="J14" s="3">
        <v>790435167</v>
      </c>
      <c r="K14" s="3">
        <v>996</v>
      </c>
      <c r="L14" s="3">
        <v>601932850</v>
      </c>
      <c r="M14" s="3">
        <v>700</v>
      </c>
      <c r="N14" s="3">
        <v>766911970</v>
      </c>
      <c r="O14" s="3">
        <v>1039</v>
      </c>
      <c r="P14" s="3"/>
      <c r="Q14" s="3"/>
      <c r="R14" s="3">
        <v>2159279987</v>
      </c>
      <c r="S14" s="3">
        <v>2735</v>
      </c>
    </row>
    <row r="15" spans="1:19">
      <c r="A15" s="14">
        <v>44958</v>
      </c>
      <c r="B15" s="2">
        <v>84798962</v>
      </c>
      <c r="C15" s="1" t="s">
        <v>6</v>
      </c>
      <c r="D15" s="12">
        <v>724</v>
      </c>
      <c r="E15" s="4">
        <v>626594515</v>
      </c>
      <c r="F15" s="28">
        <f t="shared" si="0"/>
        <v>2023</v>
      </c>
      <c r="G15" s="28">
        <f t="shared" si="1"/>
        <v>2</v>
      </c>
      <c r="I15" t="s">
        <v>86</v>
      </c>
      <c r="J15" s="3">
        <v>947867895</v>
      </c>
      <c r="K15" s="3">
        <v>937</v>
      </c>
      <c r="L15" s="3">
        <v>848704871</v>
      </c>
      <c r="M15" s="3">
        <v>1017</v>
      </c>
      <c r="N15" s="3">
        <v>876303934</v>
      </c>
      <c r="O15" s="3">
        <v>1129</v>
      </c>
      <c r="P15" s="3"/>
      <c r="Q15" s="3"/>
      <c r="R15" s="3">
        <v>2672876700</v>
      </c>
      <c r="S15" s="3">
        <v>3083</v>
      </c>
    </row>
    <row r="16" spans="1:19">
      <c r="A16" s="14">
        <v>44986</v>
      </c>
      <c r="B16" s="2">
        <v>84798962</v>
      </c>
      <c r="C16" s="1" t="s">
        <v>6</v>
      </c>
      <c r="D16" s="12">
        <v>868</v>
      </c>
      <c r="E16" s="4">
        <v>902759832</v>
      </c>
      <c r="F16" s="28">
        <f t="shared" si="0"/>
        <v>2023</v>
      </c>
      <c r="G16" s="28">
        <f t="shared" si="1"/>
        <v>3</v>
      </c>
      <c r="I16" t="s">
        <v>67</v>
      </c>
      <c r="J16" s="3">
        <v>13472462316</v>
      </c>
      <c r="K16" s="3">
        <v>15445</v>
      </c>
      <c r="L16" s="3">
        <v>9029691725</v>
      </c>
      <c r="M16" s="3">
        <v>10861</v>
      </c>
      <c r="N16" s="3">
        <v>10039093283</v>
      </c>
      <c r="O16" s="3">
        <v>13095</v>
      </c>
      <c r="P16" s="3">
        <v>1531261034</v>
      </c>
      <c r="Q16" s="3">
        <v>2178</v>
      </c>
      <c r="R16" s="3">
        <v>34072508358</v>
      </c>
      <c r="S16" s="3">
        <v>41579</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8">
        <f t="shared" si="0"/>
        <v>2024</v>
      </c>
      <c r="G29" s="29">
        <f t="shared" ref="G29:G38" si="2">MONTH(A29)</f>
        <v>4</v>
      </c>
    </row>
    <row r="30" spans="1:7">
      <c r="A30" s="14">
        <v>45413</v>
      </c>
      <c r="B30" s="8">
        <v>84798962</v>
      </c>
      <c r="C30" s="9" t="s">
        <v>13</v>
      </c>
      <c r="D30" s="17">
        <v>1166</v>
      </c>
      <c r="E30" s="10">
        <v>906749498</v>
      </c>
      <c r="F30" s="28">
        <f t="shared" si="0"/>
        <v>2024</v>
      </c>
      <c r="G30" s="29">
        <f t="shared" si="2"/>
        <v>5</v>
      </c>
    </row>
    <row r="31" spans="1:7">
      <c r="A31" s="14">
        <v>45444</v>
      </c>
      <c r="B31" s="8">
        <v>84798962</v>
      </c>
      <c r="C31" s="9" t="s">
        <v>13</v>
      </c>
      <c r="D31" s="17">
        <v>1241</v>
      </c>
      <c r="E31" s="10">
        <v>1060059842</v>
      </c>
      <c r="F31" s="28">
        <f t="shared" si="0"/>
        <v>2024</v>
      </c>
      <c r="G31" s="29">
        <f t="shared" si="2"/>
        <v>6</v>
      </c>
    </row>
    <row r="32" spans="1:7">
      <c r="A32" s="14">
        <v>45474</v>
      </c>
      <c r="B32" s="8">
        <v>84798962</v>
      </c>
      <c r="C32" s="9" t="s">
        <v>13</v>
      </c>
      <c r="D32" s="17">
        <v>1522</v>
      </c>
      <c r="E32" s="10">
        <v>1067909971</v>
      </c>
      <c r="F32" s="28">
        <f t="shared" si="0"/>
        <v>2024</v>
      </c>
      <c r="G32" s="29">
        <f t="shared" si="2"/>
        <v>7</v>
      </c>
    </row>
    <row r="33" spans="1:7">
      <c r="A33" s="14">
        <v>45505</v>
      </c>
      <c r="B33" s="8">
        <v>84798962</v>
      </c>
      <c r="C33" s="9" t="s">
        <v>13</v>
      </c>
      <c r="D33" s="17">
        <v>1061</v>
      </c>
      <c r="E33" s="10">
        <v>798223277</v>
      </c>
      <c r="F33" s="28">
        <f t="shared" si="0"/>
        <v>2024</v>
      </c>
      <c r="G33" s="29">
        <f t="shared" si="2"/>
        <v>8</v>
      </c>
    </row>
    <row r="34" spans="1:7">
      <c r="A34" s="14">
        <v>45536</v>
      </c>
      <c r="B34" s="8">
        <v>84798962</v>
      </c>
      <c r="C34" s="9" t="s">
        <v>13</v>
      </c>
      <c r="D34" s="17">
        <v>1130</v>
      </c>
      <c r="E34" s="10">
        <v>815497182</v>
      </c>
      <c r="F34" s="28">
        <f t="shared" si="0"/>
        <v>2024</v>
      </c>
      <c r="G34" s="29">
        <f t="shared" si="2"/>
        <v>9</v>
      </c>
    </row>
    <row r="35" spans="1:7">
      <c r="A35" s="14">
        <v>45566</v>
      </c>
      <c r="B35" s="8">
        <v>84798962</v>
      </c>
      <c r="C35" s="9" t="s">
        <v>13</v>
      </c>
      <c r="D35" s="17">
        <v>1092</v>
      </c>
      <c r="E35" s="10">
        <v>858639426</v>
      </c>
      <c r="F35" s="28">
        <f t="shared" si="0"/>
        <v>2024</v>
      </c>
      <c r="G35" s="29">
        <f t="shared" si="2"/>
        <v>10</v>
      </c>
    </row>
    <row r="36" spans="1:7">
      <c r="A36" s="14">
        <v>45597</v>
      </c>
      <c r="B36" s="8">
        <v>84798962</v>
      </c>
      <c r="C36" s="9" t="s">
        <v>13</v>
      </c>
      <c r="D36" s="17">
        <v>1039</v>
      </c>
      <c r="E36" s="10">
        <v>766911970</v>
      </c>
      <c r="F36" s="28">
        <f t="shared" si="0"/>
        <v>2024</v>
      </c>
      <c r="G36" s="29">
        <f t="shared" si="2"/>
        <v>11</v>
      </c>
    </row>
    <row r="37" spans="1:7">
      <c r="A37" s="14">
        <v>45627</v>
      </c>
      <c r="B37" s="8">
        <v>84798962</v>
      </c>
      <c r="C37" s="9" t="s">
        <v>13</v>
      </c>
      <c r="D37" s="17">
        <v>1129</v>
      </c>
      <c r="E37" s="10">
        <v>876303934</v>
      </c>
      <c r="F37" s="28">
        <f t="shared" si="0"/>
        <v>2024</v>
      </c>
      <c r="G37" s="29">
        <f t="shared" si="2"/>
        <v>12</v>
      </c>
    </row>
    <row r="38" spans="1:7">
      <c r="A38" s="14">
        <v>45658</v>
      </c>
      <c r="B38" s="8">
        <v>84798962</v>
      </c>
      <c r="C38" s="9" t="s">
        <v>13</v>
      </c>
      <c r="D38" s="17">
        <v>1084</v>
      </c>
      <c r="E38" s="10">
        <v>806533266</v>
      </c>
      <c r="F38" s="28">
        <f t="shared" si="0"/>
        <v>2025</v>
      </c>
      <c r="G38" s="29">
        <f t="shared" si="2"/>
        <v>1</v>
      </c>
    </row>
    <row r="39" spans="1:7">
      <c r="A39" s="14">
        <v>45689</v>
      </c>
      <c r="B39" s="8">
        <v>84798962</v>
      </c>
      <c r="C39" s="9" t="s">
        <v>13</v>
      </c>
      <c r="D39" s="17">
        <v>1094</v>
      </c>
      <c r="E39" s="10">
        <v>724727768</v>
      </c>
      <c r="F39" s="28">
        <f t="shared" ref="F39" si="3">YEAR(A39)</f>
        <v>2025</v>
      </c>
      <c r="G39" s="29">
        <f t="shared" ref="G39" si="4">MONTH(A39)</f>
        <v>2</v>
      </c>
    </row>
  </sheetData>
  <phoneticPr fontId="5" type="noConversion"/>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defaultColWidth="11.5546875" defaultRowHeight="14.4"/>
  <cols>
    <col min="1" max="1" width="11" style="22"/>
    <col min="2" max="2" width="9" style="23" bestFit="1" customWidth="1"/>
    <col min="3" max="3" width="19.21875" style="23" bestFit="1" customWidth="1"/>
    <col min="4" max="4" width="14.44140625" bestFit="1" customWidth="1"/>
    <col min="7" max="7" width="20.21875" bestFit="1" customWidth="1"/>
    <col min="8" max="8" width="7.21875" bestFit="1" customWidth="1"/>
    <col min="9" max="9" width="6" bestFit="1" customWidth="1"/>
    <col min="10" max="13" width="7.21875" bestFit="1" customWidth="1"/>
    <col min="14" max="14" width="10.77734375" bestFit="1" customWidth="1"/>
    <col min="16" max="16" width="18" bestFit="1" customWidth="1"/>
    <col min="17" max="17" width="12.109375" bestFit="1" customWidth="1"/>
    <col min="18" max="31" width="17.21875" bestFit="1" customWidth="1"/>
    <col min="32" max="32" width="10.77734375" bestFit="1" customWidth="1"/>
    <col min="33" max="33" width="13" bestFit="1" customWidth="1"/>
    <col min="34" max="34" width="12.21875" bestFit="1" customWidth="1"/>
    <col min="35" max="35" width="14.44140625" bestFit="1" customWidth="1"/>
    <col min="36" max="36" width="7.4414062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67</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67</v>
      </c>
    </row>
    <row r="4" spans="1:32">
      <c r="A4" s="22">
        <v>2023</v>
      </c>
      <c r="B4" s="23" t="s">
        <v>48</v>
      </c>
      <c r="C4" s="23" t="s">
        <v>23</v>
      </c>
      <c r="D4" t="s">
        <v>52</v>
      </c>
      <c r="E4">
        <v>1987</v>
      </c>
      <c r="G4" s="21">
        <v>2022</v>
      </c>
      <c r="H4" t="s">
        <v>51</v>
      </c>
      <c r="I4" s="30">
        <v>7943</v>
      </c>
      <c r="J4" s="30">
        <v>5675</v>
      </c>
      <c r="K4" s="30">
        <v>166</v>
      </c>
      <c r="L4" s="30">
        <v>260</v>
      </c>
      <c r="M4" s="30">
        <v>1403</v>
      </c>
      <c r="N4" s="30">
        <v>15447</v>
      </c>
      <c r="P4" s="21">
        <v>2022</v>
      </c>
      <c r="Q4" t="s">
        <v>51</v>
      </c>
      <c r="R4" s="30">
        <v>7943</v>
      </c>
      <c r="S4" s="30">
        <v>2896</v>
      </c>
      <c r="T4" s="30">
        <v>1732</v>
      </c>
      <c r="U4" s="30">
        <v>1403</v>
      </c>
      <c r="V4" s="30">
        <v>376</v>
      </c>
      <c r="W4" s="30"/>
      <c r="X4" s="30">
        <v>301</v>
      </c>
      <c r="Y4" s="30">
        <v>159</v>
      </c>
      <c r="Z4" s="30">
        <v>153</v>
      </c>
      <c r="AA4" s="30">
        <v>129</v>
      </c>
      <c r="AB4" s="30">
        <v>82</v>
      </c>
      <c r="AC4" s="30">
        <v>121</v>
      </c>
      <c r="AD4" s="30">
        <v>107</v>
      </c>
      <c r="AE4" s="30">
        <v>45</v>
      </c>
      <c r="AF4" s="30">
        <v>15447</v>
      </c>
    </row>
    <row r="5" spans="1:32">
      <c r="A5" s="22">
        <v>2023</v>
      </c>
      <c r="B5" s="23" t="s">
        <v>48</v>
      </c>
      <c r="C5" s="23" t="s">
        <v>25</v>
      </c>
      <c r="D5" t="s">
        <v>52</v>
      </c>
      <c r="E5">
        <v>1147</v>
      </c>
      <c r="G5" s="21">
        <v>2023</v>
      </c>
      <c r="H5" t="s">
        <v>51</v>
      </c>
      <c r="I5" s="30">
        <v>6279</v>
      </c>
      <c r="J5" s="30">
        <v>3806</v>
      </c>
      <c r="K5" s="30">
        <v>53</v>
      </c>
      <c r="L5" s="30">
        <v>198</v>
      </c>
      <c r="M5" s="30">
        <v>524</v>
      </c>
      <c r="N5" s="30">
        <v>10860</v>
      </c>
      <c r="P5" s="21">
        <v>2023</v>
      </c>
      <c r="Q5" t="s">
        <v>51</v>
      </c>
      <c r="R5" s="30">
        <v>6279</v>
      </c>
      <c r="S5" s="30">
        <v>1987</v>
      </c>
      <c r="T5" s="30">
        <v>1147</v>
      </c>
      <c r="U5" s="30"/>
      <c r="V5" s="30">
        <v>150</v>
      </c>
      <c r="W5" s="30">
        <v>524</v>
      </c>
      <c r="X5" s="30">
        <v>86</v>
      </c>
      <c r="Y5" s="30">
        <v>198</v>
      </c>
      <c r="Z5" s="30">
        <v>154</v>
      </c>
      <c r="AA5" s="30">
        <v>96</v>
      </c>
      <c r="AB5" s="30">
        <v>142</v>
      </c>
      <c r="AC5" s="30">
        <v>45</v>
      </c>
      <c r="AD5" s="30">
        <v>44</v>
      </c>
      <c r="AE5" s="30">
        <v>8</v>
      </c>
      <c r="AF5" s="30">
        <v>10860</v>
      </c>
    </row>
    <row r="6" spans="1:32">
      <c r="A6" s="22">
        <v>2023</v>
      </c>
      <c r="B6" s="23" t="s">
        <v>48</v>
      </c>
      <c r="C6" s="23" t="s">
        <v>27</v>
      </c>
      <c r="D6" t="s">
        <v>52</v>
      </c>
      <c r="E6">
        <v>150</v>
      </c>
      <c r="G6" s="21" t="s">
        <v>67</v>
      </c>
      <c r="I6" s="30">
        <v>14222</v>
      </c>
      <c r="J6" s="30">
        <v>9481</v>
      </c>
      <c r="K6" s="30">
        <v>219</v>
      </c>
      <c r="L6" s="30">
        <v>458</v>
      </c>
      <c r="M6" s="30">
        <v>1927</v>
      </c>
      <c r="N6" s="30">
        <v>26307</v>
      </c>
      <c r="P6" s="21" t="s">
        <v>67</v>
      </c>
      <c r="R6" s="30">
        <v>14222</v>
      </c>
      <c r="S6" s="30">
        <v>4883</v>
      </c>
      <c r="T6" s="30">
        <v>2879</v>
      </c>
      <c r="U6" s="30">
        <v>1403</v>
      </c>
      <c r="V6" s="30">
        <v>526</v>
      </c>
      <c r="W6" s="30">
        <v>524</v>
      </c>
      <c r="X6" s="30">
        <v>387</v>
      </c>
      <c r="Y6" s="30">
        <v>357</v>
      </c>
      <c r="Z6" s="30">
        <v>307</v>
      </c>
      <c r="AA6" s="30">
        <v>225</v>
      </c>
      <c r="AB6" s="30">
        <v>224</v>
      </c>
      <c r="AC6" s="30">
        <v>166</v>
      </c>
      <c r="AD6" s="30">
        <v>151</v>
      </c>
      <c r="AE6" s="30">
        <v>53</v>
      </c>
      <c r="AF6" s="30">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68</v>
      </c>
      <c r="P11" s="11" t="s">
        <v>14</v>
      </c>
      <c r="Q11" s="11" t="s">
        <v>56</v>
      </c>
      <c r="R11" t="s">
        <v>68</v>
      </c>
    </row>
    <row r="12" spans="1:32">
      <c r="A12" s="22">
        <v>2023</v>
      </c>
      <c r="B12" s="23" t="s">
        <v>46</v>
      </c>
      <c r="C12" s="23" t="s">
        <v>39</v>
      </c>
      <c r="D12" t="s">
        <v>52</v>
      </c>
      <c r="E12">
        <v>154</v>
      </c>
      <c r="G12" s="21">
        <v>2023</v>
      </c>
      <c r="H12" t="s">
        <v>43</v>
      </c>
      <c r="I12" s="30">
        <v>6279</v>
      </c>
      <c r="P12" s="21">
        <v>2023</v>
      </c>
      <c r="Q12" t="s">
        <v>40</v>
      </c>
      <c r="R12" s="30">
        <v>6279</v>
      </c>
    </row>
    <row r="13" spans="1:32">
      <c r="A13" s="22">
        <v>2023</v>
      </c>
      <c r="B13" s="23" t="s">
        <v>44</v>
      </c>
      <c r="C13" s="23" t="s">
        <v>41</v>
      </c>
      <c r="D13" t="s">
        <v>52</v>
      </c>
      <c r="E13">
        <v>6279</v>
      </c>
      <c r="H13" t="s">
        <v>47</v>
      </c>
      <c r="I13" s="30">
        <v>3806</v>
      </c>
      <c r="Q13" t="s">
        <v>22</v>
      </c>
      <c r="R13" s="30">
        <v>1987</v>
      </c>
    </row>
    <row r="14" spans="1:32">
      <c r="A14" s="22">
        <v>2023</v>
      </c>
      <c r="B14" s="23" t="s">
        <v>54</v>
      </c>
      <c r="C14" s="23" t="s">
        <v>64</v>
      </c>
      <c r="D14" t="s">
        <v>52</v>
      </c>
      <c r="E14">
        <v>524</v>
      </c>
      <c r="H14" t="s">
        <v>49</v>
      </c>
      <c r="I14" s="30">
        <v>53</v>
      </c>
      <c r="Q14" t="s">
        <v>24</v>
      </c>
      <c r="R14" s="30">
        <v>1147</v>
      </c>
    </row>
    <row r="15" spans="1:32">
      <c r="A15" s="22">
        <v>2022</v>
      </c>
      <c r="B15" s="23" t="s">
        <v>50</v>
      </c>
      <c r="C15" s="23" t="s">
        <v>19</v>
      </c>
      <c r="D15" t="s">
        <v>52</v>
      </c>
      <c r="E15">
        <v>121</v>
      </c>
      <c r="H15" t="s">
        <v>45</v>
      </c>
      <c r="I15" s="30">
        <v>198</v>
      </c>
      <c r="Q15" t="s">
        <v>64</v>
      </c>
      <c r="R15" s="30">
        <v>524</v>
      </c>
    </row>
    <row r="16" spans="1:32">
      <c r="A16" s="22">
        <v>2022</v>
      </c>
      <c r="B16" s="23" t="s">
        <v>50</v>
      </c>
      <c r="C16" s="23" t="s">
        <v>21</v>
      </c>
      <c r="D16" t="s">
        <v>52</v>
      </c>
      <c r="E16">
        <v>45</v>
      </c>
      <c r="H16" t="s">
        <v>53</v>
      </c>
      <c r="I16" s="30">
        <v>524</v>
      </c>
      <c r="Q16" t="s">
        <v>30</v>
      </c>
      <c r="R16" s="30">
        <v>198</v>
      </c>
    </row>
    <row r="17" spans="1:18">
      <c r="A17" s="22">
        <v>2022</v>
      </c>
      <c r="B17" s="23" t="s">
        <v>48</v>
      </c>
      <c r="C17" s="23" t="s">
        <v>23</v>
      </c>
      <c r="D17" t="s">
        <v>52</v>
      </c>
      <c r="E17">
        <v>2896</v>
      </c>
      <c r="G17" s="21" t="s">
        <v>67</v>
      </c>
      <c r="I17" s="30">
        <v>10860</v>
      </c>
      <c r="Q17" t="s">
        <v>38</v>
      </c>
      <c r="R17" s="30">
        <v>154</v>
      </c>
    </row>
    <row r="18" spans="1:18">
      <c r="A18" s="22">
        <v>2022</v>
      </c>
      <c r="B18" s="23" t="s">
        <v>48</v>
      </c>
      <c r="C18" s="23" t="s">
        <v>25</v>
      </c>
      <c r="D18" t="s">
        <v>52</v>
      </c>
      <c r="E18">
        <v>1732</v>
      </c>
      <c r="Q18" t="s">
        <v>26</v>
      </c>
      <c r="R18" s="30">
        <v>150</v>
      </c>
    </row>
    <row r="19" spans="1:18">
      <c r="A19" s="22">
        <v>2022</v>
      </c>
      <c r="B19" s="23" t="s">
        <v>48</v>
      </c>
      <c r="C19" s="23" t="s">
        <v>27</v>
      </c>
      <c r="D19" t="s">
        <v>52</v>
      </c>
      <c r="E19">
        <v>376</v>
      </c>
      <c r="Q19" t="s">
        <v>28</v>
      </c>
      <c r="R19" s="30">
        <v>142</v>
      </c>
    </row>
    <row r="20" spans="1:18">
      <c r="A20" s="22">
        <v>2022</v>
      </c>
      <c r="B20" s="23" t="s">
        <v>48</v>
      </c>
      <c r="C20" s="23" t="s">
        <v>29</v>
      </c>
      <c r="D20" t="s">
        <v>52</v>
      </c>
      <c r="E20">
        <v>82</v>
      </c>
      <c r="Q20" t="s">
        <v>32</v>
      </c>
      <c r="R20" s="30">
        <v>96</v>
      </c>
    </row>
    <row r="21" spans="1:18">
      <c r="A21" s="22">
        <v>2022</v>
      </c>
      <c r="B21" s="23" t="s">
        <v>48</v>
      </c>
      <c r="C21" s="23" t="s">
        <v>31</v>
      </c>
      <c r="D21" t="s">
        <v>52</v>
      </c>
      <c r="E21">
        <v>159</v>
      </c>
      <c r="Q21" t="s">
        <v>34</v>
      </c>
      <c r="R21" s="30">
        <v>86</v>
      </c>
    </row>
    <row r="22" spans="1:18">
      <c r="A22" s="22">
        <v>2022</v>
      </c>
      <c r="B22" s="23" t="s">
        <v>48</v>
      </c>
      <c r="C22" s="23" t="s">
        <v>33</v>
      </c>
      <c r="D22" t="s">
        <v>52</v>
      </c>
      <c r="E22">
        <v>129</v>
      </c>
      <c r="Q22" t="s">
        <v>18</v>
      </c>
      <c r="R22" s="30">
        <v>45</v>
      </c>
    </row>
    <row r="23" spans="1:18">
      <c r="A23" s="22">
        <v>2022</v>
      </c>
      <c r="B23" s="23" t="s">
        <v>48</v>
      </c>
      <c r="C23" s="23" t="s">
        <v>35</v>
      </c>
      <c r="D23" t="s">
        <v>52</v>
      </c>
      <c r="E23">
        <v>301</v>
      </c>
      <c r="Q23" t="s">
        <v>36</v>
      </c>
      <c r="R23" s="30">
        <v>44</v>
      </c>
    </row>
    <row r="24" spans="1:18">
      <c r="A24" s="22">
        <v>2022</v>
      </c>
      <c r="B24" s="23" t="s">
        <v>46</v>
      </c>
      <c r="C24" s="23" t="s">
        <v>37</v>
      </c>
      <c r="D24" t="s">
        <v>52</v>
      </c>
      <c r="E24">
        <v>107</v>
      </c>
      <c r="Q24" t="s">
        <v>20</v>
      </c>
      <c r="R24" s="30">
        <v>8</v>
      </c>
    </row>
    <row r="25" spans="1:18">
      <c r="A25" s="22">
        <v>2022</v>
      </c>
      <c r="B25" s="23" t="s">
        <v>46</v>
      </c>
      <c r="C25" s="23" t="s">
        <v>39</v>
      </c>
      <c r="D25" t="s">
        <v>52</v>
      </c>
      <c r="E25">
        <v>153</v>
      </c>
      <c r="P25" s="21" t="s">
        <v>67</v>
      </c>
      <c r="R25" s="30">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C281514-C9C5-4709-81CC-9AFF927FE8B7}">
  <ds:schemaRefs>
    <ds:schemaRef ds:uri="http://schemas.microsoft.com/office/2006/documentManagement/types"/>
    <ds:schemaRef ds:uri="http://purl.org/dc/terms/"/>
    <ds:schemaRef ds:uri="http://www.w3.org/XML/1998/namespace"/>
    <ds:schemaRef ds:uri="efa1766b-290e-4930-94b4-5079da17b09c"/>
    <ds:schemaRef ds:uri="http://schemas.microsoft.com/office/infopath/2007/PartnerControls"/>
    <ds:schemaRef ds:uri="http://purl.org/dc/elements/1.1/"/>
    <ds:schemaRef ds:uri="http://purl.org/dc/dcmitype/"/>
    <ds:schemaRef ds:uri="http://schemas.openxmlformats.org/package/2006/metadata/core-properties"/>
    <ds:schemaRef ds:uri="dcec4b07-66e7-4e8f-b2bb-0bd07e3b5177"/>
    <ds:schemaRef ds:uri="http://schemas.microsoft.com/office/2006/metadata/properties"/>
  </ds:schemaRefs>
</ds:datastoreItem>
</file>

<file path=customXml/itemProps2.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4E3E345-357A-4B7D-86CD-73BE6C38C8D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2025-03-20T02:47:42Z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