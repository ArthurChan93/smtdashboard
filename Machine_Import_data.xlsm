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workbookPr codeName="ThisWorkbook" hidePivotFieldList="1"/>
  <mc:AlternateContent xmlns:mc="http://schemas.openxmlformats.org/markup-compatibility/2006">
    <mc:Choice Requires="x15">
      <x15ac:absPath xmlns:x15ac="http://schemas.microsoft.com/office/spreadsheetml/2010/11/ac" url="/Users/arthurchan/Downloads/"/>
    </mc:Choice>
  </mc:AlternateContent>
  <xr:revisionPtr revIDLastSave="0" documentId="13_ncr:1_{9AE1D491-7FF7-E44F-A425-4010D3EC931A}" xr6:coauthVersionLast="47" xr6:coauthVersionMax="47" xr10:uidLastSave="{00000000-0000-0000-0000-000000000000}"/>
  <bookViews>
    <workbookView xWindow="-33600" yWindow="4360" windowWidth="33600" windowHeight="19160" activeTab="2" xr2:uid="{00000000-000D-0000-FFFF-FFFF00000000}"/>
  </bookViews>
  <sheets>
    <sheet name="Mounter_全国年度进口图 (2)" sheetId="6" r:id="rId1"/>
    <sheet name="Mounter_全国年度进口图" sheetId="1" r:id="rId2"/>
    <sheet name="Mounter_地区年度进口图" sheetId="5" r:id="rId3"/>
    <sheet name="raw data" sheetId="2" state="hidden" r:id="rId4"/>
    <sheet name="raw data_Region" sheetId="3" state="hidden" r:id="rId5"/>
  </sheets>
  <definedNames>
    <definedName name="Slicer_数据年">#N/A</definedName>
    <definedName name="Slicer_数据年1">#N/A</definedName>
  </definedNames>
  <calcPr calcId="191028"/>
  <pivotCaches>
    <pivotCache cacheId="8" r:id="rId6"/>
    <pivotCache cacheId="9"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0" i="2" l="1"/>
  <c r="F40" i="2"/>
  <c r="G39" i="2"/>
  <c r="F39" i="2"/>
  <c r="G32" i="2"/>
  <c r="G33" i="2"/>
  <c r="G34" i="2"/>
  <c r="G35" i="2"/>
  <c r="G36" i="2"/>
  <c r="G37" i="2"/>
  <c r="G38"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G31" i="2"/>
  <c r="G30" i="2"/>
  <c r="G29" i="2"/>
  <c r="G3" i="2"/>
  <c r="G4" i="2"/>
  <c r="G5" i="2"/>
  <c r="G6" i="2"/>
  <c r="G7" i="2"/>
  <c r="G8" i="2"/>
  <c r="G9" i="2"/>
  <c r="G10" i="2"/>
  <c r="G11" i="2"/>
  <c r="G12" i="2"/>
  <c r="G13" i="2"/>
  <c r="G14" i="2"/>
  <c r="G15" i="2"/>
  <c r="G16" i="2"/>
  <c r="G17" i="2"/>
  <c r="G18" i="2"/>
  <c r="G19" i="2"/>
  <c r="G20" i="2"/>
  <c r="G21" i="2"/>
  <c r="G22" i="2"/>
  <c r="G23" i="2"/>
  <c r="G24" i="2"/>
  <c r="G25" i="2"/>
  <c r="G26" i="2"/>
  <c r="G27" i="2"/>
  <c r="G28" i="2"/>
  <c r="G2" i="2"/>
  <c r="F2" i="2"/>
</calcChain>
</file>

<file path=xl/sharedStrings.xml><?xml version="1.0" encoding="utf-8"?>
<sst xmlns="http://schemas.openxmlformats.org/spreadsheetml/2006/main" count="228" uniqueCount="88">
  <si>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</si>
  <si>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</si>
  <si>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</si>
  <si>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</si>
  <si>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</si>
  <si>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</si>
  <si>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</si>
  <si>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</si>
  <si>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</si>
  <si>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</si>
  <si>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</si>
  <si>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</si>
  <si>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</si>
  <si>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</si>
  <si>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</si>
  <si>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</si>
  <si>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</si>
  <si>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</si>
  <si>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</si>
  <si>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</si>
  <si>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</si>
  <si>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</si>
  <si>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</si>
  <si>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</si>
  <si>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</si>
  <si>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</si>
  <si>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</si>
  <si>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</si>
  <si>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</si>
  <si>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</si>
  <si>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</si>
  <si>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</si>
  <si>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</si>
  <si>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</si>
  <si>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</si>
  <si>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</si>
  <si>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</si>
  <si>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</si>
  <si>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</si>
  <si>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</si>
  <si>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</si>
  <si>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</si>
  <si>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</si>
  <si>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</si>
  <si>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</si>
  <si>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</si>
  <si>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</si>
  <si>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</si>
  <si>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</si>
  <si>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</si>
  <si>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</si>
  <si>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</si>
  <si>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</si>
  <si>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</si>
  <si>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</si>
  <si>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</si>
  <si>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</si>
  <si>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</si>
  <si>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</si>
  <si>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</si>
  <si>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</si>
  <si>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</si>
  <si>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</si>
  <si>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</si>
  <si>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</si>
  <si>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</si>
  <si>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</si>
  <si>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Grand Total</t>
  </si>
  <si>
    <t>Total</t>
  </si>
  <si>
    <t>2022年</t>
  </si>
  <si>
    <t>2023年</t>
  </si>
  <si>
    <t>2024年</t>
  </si>
  <si>
    <t>2025年</t>
  </si>
  <si>
    <t>Sum of 进口金额（人民币） 的加總</t>
  </si>
  <si>
    <t>Sum of 台数 的加總</t>
  </si>
  <si>
    <t>1月</t>
  </si>
  <si>
    <t>2月</t>
  </si>
  <si>
    <t>3月</t>
  </si>
  <si>
    <t>4月</t>
  </si>
  <si>
    <t>5月</t>
  </si>
  <si>
    <t>6月</t>
  </si>
  <si>
    <t>7月</t>
  </si>
  <si>
    <t>8月</t>
  </si>
  <si>
    <t>9月</t>
  </si>
  <si>
    <t>10月</t>
  </si>
  <si>
    <t>11月</t>
  </si>
  <si>
    <t>12月</t>
  </si>
  <si>
    <t>總計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</si>
</sst>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_-* #,##0.00_-;\-* #,##0.00_-;_-* &quot;-&quot;??_-;_-@_-"/>
    <numFmt numFmtId="177" formatCode="_ * #,##0_ ;_ * \-#,##0_ ;_ * &quot;-&quot;??_ ;_ @_ "/>
    <numFmt numFmtId="178" formatCode="_-* #,##0_-;\-* #,##0_-;_-* &quot;-&quot;??_-;_-@_-"/>
    <numFmt numFmtId="179" formatCode="0_);[Red]\(0\)"/>
  </numFmts>
  <fonts count="9">
    <font>
      <sz val="11"/>
      <color theme="1"/>
      <name val="新細明體"/>
      <family val="2"/>
      <scheme val="minor"/>
    </font>
    <font>
      <sz val="9"/>
      <name val="新細明體"/>
      <family val="3"/>
      <charset val="134"/>
      <scheme val="minor"/>
    </font>
    <font>
      <b/>
      <sz val="11"/>
      <color theme="1"/>
      <name val="新細明體"/>
      <family val="3"/>
      <charset val="134"/>
      <scheme val="minor"/>
    </font>
    <font>
      <sz val="11"/>
      <color theme="1"/>
      <name val="新細明體"/>
      <family val="2"/>
      <scheme val="minor"/>
    </font>
    <font>
      <sz val="12"/>
      <color theme="1"/>
      <name val="新細明體"/>
      <family val="2"/>
      <scheme val="minor"/>
    </font>
    <font>
      <sz val="9"/>
      <name val="新細明體"/>
      <family val="3"/>
      <charset val="136"/>
      <scheme val="minor"/>
    </font>
    <font>
      <b/>
      <sz val="11"/>
      <color theme="0"/>
      <name val="新細明體"/>
      <family val="3"/>
      <charset val="134"/>
      <scheme val="minor"/>
    </font>
    <font>
      <sz val="9"/>
      <name val="新細明體"/>
      <family val="2"/>
      <charset val="136"/>
      <scheme val="minor"/>
    </font>
    <font>
      <sz val="20"/>
      <color theme="1"/>
      <name val="新細明體"/>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176" fontId="3" fillId="0" borderId="0" applyFont="0" applyFill="0" applyBorder="0" applyAlignment="0" applyProtection="0"/>
  </cellStyleXfs>
  <cellXfs count="30">
    <xf numFmtId="0" fontId="0" fillId="0" borderId="0" xfId="0"/>
    <xf numFmtId="0" fontId="0" fillId="0" borderId="1" xfId="0" applyBorder="1" applyAlignment="1">
      <alignment horizontal="center"/>
    </xf>
    <xf numFmtId="0" fontId="0" fillId="0" borderId="1" xfId="0" applyBorder="1"/>
    <xf numFmtId="177"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78" fontId="0" fillId="0" borderId="1" xfId="1" applyNumberFormat="1" applyFont="1" applyBorder="1" applyAlignment="1">
      <alignment horizontal="center"/>
    </xf>
    <xf numFmtId="178"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78" fontId="0" fillId="0" borderId="1" xfId="0" applyNumberFormat="1" applyBorder="1" applyAlignment="1">
      <alignment horizontal="center"/>
    </xf>
    <xf numFmtId="178"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79" fontId="6" fillId="2" borderId="1" xfId="0" applyNumberFormat="1" applyFont="1" applyFill="1" applyBorder="1" applyAlignment="1">
      <alignment horizontal="center"/>
    </xf>
    <xf numFmtId="179" fontId="0" fillId="0" borderId="0" xfId="0" applyNumberFormat="1"/>
    <xf numFmtId="179"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78" fontId="0" fillId="0" borderId="0" xfId="1" applyNumberFormat="1" applyFont="1" applyBorder="1" applyAlignment="1">
      <alignment horizontal="right"/>
    </xf>
    <xf numFmtId="3" fontId="0" fillId="0" borderId="0" xfId="0" applyNumberFormat="1" applyAlignment="1">
      <alignment horizontal="right"/>
    </xf>
  </cellXfs>
  <cellStyles count="2">
    <cellStyle name="一般" xfId="0" builtinId="0"/>
    <cellStyle name="千分位" xfId="1" builtinId="3"/>
  </cellStyles>
  <dxfs count="17">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78"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80"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77"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6"/>
      <tableStyleElement type="headerRow" dxfId="15"/>
    </tableStyle>
    <tableStyle name="SlicerStyleLight6 2 2" pivot="0" table="0" count="10" xr9:uid="{29405B0C-9FAD-45BC-A44A-CB39FA54E9FB}">
      <tableStyleElement type="wholeTable" dxfId="14"/>
      <tableStyleElement type="headerRow" dxfId="13"/>
    </tableStyle>
  </tableStyles>
  <colors>
    <mruColors>
      <color rgb="FFCC66FF"/>
      <color rgb="FFFF6600"/>
      <color rgb="FFFD847B"/>
      <color rgb="FFEC99E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ustomXml" Target="../customXml/item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i="0" u="none" strike="noStrike" kern="1200" spc="0" baseline="0">
                <a:solidFill>
                  <a:srgbClr val="44546A"/>
                </a:solidFill>
              </a:rPr>
              <a:t>China Mounter Import Trend (QTY&amp; CNY Amount)</a:t>
            </a:r>
          </a:p>
        </c:rich>
      </c:tx>
      <c:layout>
        <c:manualLayout>
          <c:xMode val="edge"/>
          <c:yMode val="edge"/>
          <c:x val="0.37738205463469521"/>
          <c:y val="1.9725075520083069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pivotFmt>
      <c:pivotFmt>
        <c:idx val="104"/>
        <c:marker>
          <c:symbol val="none"/>
        </c:marker>
      </c:pivotFmt>
      <c:pivotFmt>
        <c:idx val="105"/>
        <c:marker>
          <c:symbol val="none"/>
        </c:marker>
      </c:pivotFmt>
      <c:pivotFmt>
        <c:idx val="106"/>
        <c:spPr>
          <a:solidFill>
            <a:srgbClr val="FFC000"/>
          </a:solidFill>
        </c:spPr>
        <c:marker>
          <c:symbol val="none"/>
        </c:marker>
        <c:dLbl>
          <c:idx val="0"/>
          <c:delete val="1"/>
          <c:extLst>
            <c:ext xmlns:c15="http://schemas.microsoft.com/office/drawing/2012/chart" uri="{CE6537A1-D6FC-4f65-9D91-7224C49458BB}"/>
          </c:extLst>
        </c:dLbl>
      </c:pivotFmt>
      <c:pivotFmt>
        <c:idx val="107"/>
        <c:spPr>
          <a:ln>
            <a:solidFill>
              <a:schemeClr val="accent4"/>
            </a:solidFill>
          </a:ln>
        </c:spPr>
        <c:marker>
          <c:spPr>
            <a:solidFill>
              <a:schemeClr val="tx1"/>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00B0F0"/>
          </a:solidFill>
        </c:spPr>
        <c:marker>
          <c:symbol val="none"/>
        </c:marker>
        <c:dLbl>
          <c:idx val="0"/>
          <c:delete val="1"/>
          <c:extLst>
            <c:ext xmlns:c15="http://schemas.microsoft.com/office/drawing/2012/chart" uri="{CE6537A1-D6FC-4f65-9D91-7224C49458BB}"/>
          </c:extLst>
        </c:dLbl>
      </c:pivotFmt>
      <c:pivotFmt>
        <c:idx val="109"/>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92D050"/>
          </a:solidFill>
        </c:spPr>
        <c:marker>
          <c:symbol val="none"/>
        </c:marker>
        <c:dLbl>
          <c:idx val="0"/>
          <c:delete val="1"/>
          <c:extLst>
            <c:ext xmlns:c15="http://schemas.microsoft.com/office/drawing/2012/chart" uri="{CE6537A1-D6FC-4f65-9D91-7224C49458BB}"/>
          </c:extLst>
        </c:dLbl>
      </c:pivotFmt>
      <c:pivotFmt>
        <c:idx val="111"/>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7.4726449709294328E-4"/>
              <c:y val="7.5447576409978564E-3"/>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8.2199094680236902E-3"/>
              <c:y val="-1.2574596068329761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pivotFmt>
      <c:pivotFmt>
        <c:idx val="115"/>
        <c:spPr>
          <a:solidFill>
            <a:srgbClr val="FFC000"/>
          </a:solidFill>
        </c:spPr>
        <c:marker>
          <c:symbol val="none"/>
        </c:marker>
        <c:dLbl>
          <c:idx val="0"/>
          <c:delete val="1"/>
          <c:extLst>
            <c:ext xmlns:c15="http://schemas.microsoft.com/office/drawing/2012/chart" uri="{CE6537A1-D6FC-4f65-9D91-7224C49458BB}"/>
          </c:extLst>
        </c:dLbl>
      </c:pivotFmt>
      <c:pivotFmt>
        <c:idx val="116"/>
        <c:spPr>
          <a:ln>
            <a:solidFill>
              <a:schemeClr val="accent4"/>
            </a:solidFill>
          </a:ln>
        </c:spPr>
        <c:marker>
          <c:symbol val="square"/>
          <c:size val="8"/>
          <c:spPr>
            <a:solidFill>
              <a:schemeClr val="tx1">
                <a:lumMod val="95000"/>
                <a:lumOff val="5000"/>
              </a:schemeClr>
            </a:solidFill>
            <a:ln>
              <a:solidFill>
                <a:schemeClr val="accent4"/>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solidFill>
        </c:spPr>
        <c:marker>
          <c:symbol val="none"/>
        </c:marker>
        <c:dLbl>
          <c:idx val="0"/>
          <c:delete val="1"/>
          <c:extLst>
            <c:ext xmlns:c15="http://schemas.microsoft.com/office/drawing/2012/chart" uri="{CE6537A1-D6FC-4f65-9D91-7224C49458BB}"/>
          </c:extLst>
        </c:dLbl>
      </c:pivotFmt>
      <c:pivotFmt>
        <c:idx val="118"/>
        <c:spPr>
          <a:ln>
            <a:solidFill>
              <a:srgbClr val="00B0F0"/>
            </a:solidFill>
          </a:ln>
        </c:spPr>
        <c:marker>
          <c:symbol val="square"/>
          <c:size val="8"/>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spPr>
          <a:solidFill>
            <a:srgbClr val="FD847B"/>
          </a:solidFill>
          <a:ln>
            <a:solidFill>
              <a:srgbClr val="CC66FF"/>
            </a:solidFill>
          </a:ln>
        </c:spPr>
        <c:marker>
          <c:symbol val="none"/>
        </c:marker>
        <c:dLbl>
          <c:idx val="0"/>
          <c:delete val="1"/>
          <c:extLst>
            <c:ext xmlns:c15="http://schemas.microsoft.com/office/drawing/2012/chart" uri="{CE6537A1-D6FC-4f65-9D91-7224C49458BB}"/>
          </c:extLst>
        </c:dLbl>
      </c:pivotFmt>
      <c:pivotFmt>
        <c:idx val="120"/>
        <c:spPr>
          <a:ln>
            <a:solidFill>
              <a:srgbClr val="FF0000"/>
            </a:solidFill>
          </a:ln>
        </c:spPr>
        <c:marker>
          <c:symbol val="square"/>
          <c:size val="6"/>
          <c:spPr>
            <a:solidFill>
              <a:schemeClr val="tx1"/>
            </a:solidFill>
            <a:ln>
              <a:solidFill>
                <a:srgbClr val="FF000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1"/>
        <c:spPr>
          <a:solidFill>
            <a:srgbClr val="92D050"/>
          </a:solidFill>
        </c:spPr>
        <c:marker>
          <c:symbol val="none"/>
        </c:marker>
        <c:dLbl>
          <c:idx val="0"/>
          <c:delete val="1"/>
          <c:extLst>
            <c:ext xmlns:c15="http://schemas.microsoft.com/office/drawing/2012/chart" uri="{CE6537A1-D6FC-4f65-9D91-7224C49458BB}"/>
          </c:extLst>
        </c:dLbl>
      </c:pivotFmt>
      <c:pivotFmt>
        <c:idx val="122"/>
        <c:spPr>
          <a:ln>
            <a:solidFill>
              <a:srgbClr val="92D050"/>
            </a:solidFill>
          </a:ln>
        </c:spPr>
        <c:marker>
          <c:symbol val="square"/>
          <c:size val="8"/>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1.762299599076763E-2"/>
              <c:y val="-3.3865991193364711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pivotFmt>
      <c:pivotFmt>
        <c:idx val="125"/>
        <c:dLbl>
          <c:idx val="0"/>
          <c:layout>
            <c:manualLayout>
              <c:x val="-1.71207046323773E-2"/>
              <c:y val="-3.38659911933646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1096008129437352E-2"/>
              <c:y val="1.322887458198900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1.2384366070576249E-2"/>
              <c:y val="-1.816770260158009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1.1740187100006705E-2"/>
              <c:y val="2.0474238547428178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1.4961081952854418E-2"/>
              <c:y val="1.685155656470852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8181976805702129E-2"/>
              <c:y val="2.3493140199694403E-2"/>
            </c:manualLayout>
          </c:layout>
          <c:spPr>
            <a:noFill/>
            <a:ln>
              <a:noFill/>
            </a:ln>
            <a:effectLst/>
          </c:spPr>
          <c:txPr>
            <a:bodyPr wrap="square" lIns="38100" tIns="19050" rIns="38100" bIns="19050" anchor="ctr">
              <a:no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2.3480323477259826E-2"/>
                  <c:h val="3.0297696982144268E-2"/>
                </c:manualLayout>
              </c15:layout>
            </c:ext>
          </c:extLst>
        </c:dLbl>
      </c:pivotFmt>
      <c:pivotFmt>
        <c:idx val="131"/>
        <c:dLbl>
          <c:idx val="0"/>
          <c:layout>
            <c:manualLayout>
              <c:x val="-1.7120704632377207E-2"/>
              <c:y val="-3.7488673176084217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1.7120704632377207E-2"/>
              <c:y val="1.564399590380210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1.2384366070576249E-2"/>
              <c:y val="1.202131392108258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pivotFmt>
      <c:pivotFmt>
        <c:idx val="135"/>
      </c:pivotFmt>
      <c:pivotFmt>
        <c:idx val="136"/>
        <c:dLbl>
          <c:idx val="0"/>
          <c:layout>
            <c:manualLayout>
              <c:x val="-1.7764883602946844E-2"/>
              <c:y val="-2.903574854973866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1.71207046323773E-2"/>
              <c:y val="1.443643524289555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2.8488434552785161E-3"/>
              <c:y val="-1.2618533488889967E-3"/>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1.6086772023236297E-2"/>
              <c:y val="-3.2924093877857705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1.2093412424056668E-2"/>
              <c:y val="-2.09277463270619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1"/>
        <c:marker>
          <c:symbol val="none"/>
        </c:marker>
        <c:dLbl>
          <c:idx val="0"/>
          <c:delete val="1"/>
          <c:extLst>
            <c:ext xmlns:c15="http://schemas.microsoft.com/office/drawing/2012/chart" uri="{CE6537A1-D6FC-4f65-9D91-7224C49458BB}"/>
          </c:extLst>
        </c:dLbl>
      </c:pivotFmt>
      <c:pivotFmt>
        <c:idx val="142"/>
        <c:marker>
          <c:symbol val="none"/>
        </c:marker>
        <c:dLbl>
          <c:idx val="0"/>
          <c:delete val="1"/>
          <c:extLst>
            <c:ext xmlns:c15="http://schemas.microsoft.com/office/drawing/2012/chart" uri="{CE6537A1-D6FC-4f65-9D91-7224C49458BB}"/>
          </c:extLst>
        </c:dLbl>
      </c:pivotFmt>
      <c:pivotFmt>
        <c:idx val="143"/>
        <c:marker>
          <c:symbol val="none"/>
        </c:marker>
        <c:dLbl>
          <c:idx val="0"/>
          <c:delete val="1"/>
          <c:extLst>
            <c:ext xmlns:c15="http://schemas.microsoft.com/office/drawing/2012/chart" uri="{CE6537A1-D6FC-4f65-9D91-7224C49458BB}"/>
          </c:extLst>
        </c:dLbl>
      </c:pivotFmt>
      <c:pivotFmt>
        <c:idx val="144"/>
        <c:marker>
          <c:symbol val="none"/>
        </c:marker>
        <c:dLbl>
          <c:idx val="0"/>
          <c:delete val="1"/>
          <c:extLst>
            <c:ext xmlns:c15="http://schemas.microsoft.com/office/drawing/2012/chart" uri="{CE6537A1-D6FC-4f65-9D91-7224C49458BB}"/>
          </c:extLst>
        </c:dLbl>
      </c:pivotFmt>
      <c:pivotFmt>
        <c:idx val="145"/>
        <c:dLbl>
          <c:idx val="0"/>
          <c:delete val="1"/>
          <c:extLst>
            <c:ext xmlns:c15="http://schemas.microsoft.com/office/drawing/2012/chart" uri="{CE6537A1-D6FC-4f65-9D91-7224C49458BB}"/>
          </c:extLst>
        </c:dLbl>
      </c:pivotFmt>
      <c:pivotFmt>
        <c:idx val="146"/>
        <c:dLbl>
          <c:idx val="0"/>
          <c:delete val="1"/>
          <c:extLst>
            <c:ext xmlns:c15="http://schemas.microsoft.com/office/drawing/2012/chart" uri="{CE6537A1-D6FC-4f65-9D91-7224C49458BB}"/>
          </c:extLst>
        </c:dLbl>
      </c:pivotFmt>
      <c:pivotFmt>
        <c:idx val="147"/>
        <c:dLbl>
          <c:idx val="0"/>
          <c:delete val="1"/>
          <c:extLst>
            <c:ext xmlns:c15="http://schemas.microsoft.com/office/drawing/2012/chart" uri="{CE6537A1-D6FC-4f65-9D91-7224C49458BB}"/>
          </c:extLst>
        </c:dLbl>
      </c:pivotFmt>
      <c:pivotFmt>
        <c:idx val="148"/>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'raw data'!$J$1:$J$3</c:f>
              <c:strCache>
                <c:ptCount val="1"/>
                <c:pt idx="0">
                  <c:v>2022年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pt idx="10">
                  <c:v>766911970</c:v>
                </c:pt>
                <c:pt idx="11">
                  <c:v>876303934</c:v>
                </c:pt>
              </c:numCache>
            </c:numRef>
          </c:val>
          <c:extLst>
            <c:ext xmlns:c16="http://schemas.microsoft.com/office/drawing/2014/chart" uri="{C3380CC4-5D6E-409C-BE32-E72D297353CC}">
              <c16:uniqueId val="{00000014-F61D-4471-9484-8B3C41DF043A}"/>
            </c:ext>
          </c:extLst>
        </c:ser>
        <c:ser>
          <c:idx val="6"/>
          <c:order val="6"/>
          <c:tx>
            <c:strRef>
              <c:f>'raw data'!$P$1:$P$3</c:f>
              <c:strCache>
                <c:ptCount val="1"/>
                <c:pt idx="0">
                  <c:v>2025年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data'!$P$4:$P$16</c:f>
              <c:numCache>
                <c:formatCode>_ * #,##0_ ;_ * \-#,##0_ ;_ * "-"??_ ;_ @_ </c:formatCode>
                <c:ptCount val="12"/>
                <c:pt idx="0">
                  <c:v>806533266</c:v>
                </c:pt>
                <c:pt idx="1">
                  <c:v>724727768</c:v>
                </c:pt>
                <c:pt idx="2">
                  <c:v>776024651</c:v>
                </c:pt>
              </c:numCache>
            </c:numRef>
          </c:val>
          <c:extLst>
            <c:ext xmlns:c16="http://schemas.microsoft.com/office/drawing/2014/chart" uri="{C3380CC4-5D6E-409C-BE32-E72D297353CC}">
              <c16:uniqueId val="{00000001-6AF8-4FA0-BE8B-DBD9EF563083}"/>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2022年 - Sum of 台数</c:v>
                </c:pt>
              </c:strCache>
            </c:strRef>
          </c:tx>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2023年 - Sum of 台数</c:v>
                </c:pt>
              </c:strCache>
            </c:strRef>
          </c:tx>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2024年 - Sum of 台数</c:v>
                </c:pt>
              </c:strCache>
            </c:strRef>
          </c:tx>
          <c:dPt>
            <c:idx val="1"/>
            <c:bubble3D val="0"/>
            <c:extLst>
              <c:ext xmlns:c16="http://schemas.microsoft.com/office/drawing/2014/chart" uri="{C3380CC4-5D6E-409C-BE32-E72D297353CC}">
                <c16:uniqueId val="{00000021-F61D-4471-9484-8B3C41DF043A}"/>
              </c:ext>
            </c:extLst>
          </c:dPt>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pt idx="10">
                  <c:v>1039</c:v>
                </c:pt>
                <c:pt idx="11">
                  <c:v>1129</c:v>
                </c:pt>
              </c:numCache>
            </c:numRef>
          </c:val>
          <c:smooth val="0"/>
          <c:extLst>
            <c:ext xmlns:c16="http://schemas.microsoft.com/office/drawing/2014/chart" uri="{C3380CC4-5D6E-409C-BE32-E72D297353CC}">
              <c16:uniqueId val="{0000001D-F61D-4471-9484-8B3C41DF043A}"/>
            </c:ext>
          </c:extLst>
        </c:ser>
        <c:ser>
          <c:idx val="7"/>
          <c:order val="7"/>
          <c:tx>
            <c:strRef>
              <c:f>'raw data'!$Q$1:$Q$3</c:f>
              <c:strCache>
                <c:ptCount val="1"/>
                <c:pt idx="0">
                  <c:v>2025年 - Sum of 台数</c:v>
                </c:pt>
              </c:strCache>
            </c:strRef>
          </c:tx>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data'!$Q$4:$Q$16</c:f>
              <c:numCache>
                <c:formatCode>_ * #,##0_ ;_ * \-#,##0_ ;_ * "-"??_ ;_ @_ </c:formatCode>
                <c:ptCount val="12"/>
                <c:pt idx="0">
                  <c:v>1084</c:v>
                </c:pt>
                <c:pt idx="1">
                  <c:v>1094</c:v>
                </c:pt>
                <c:pt idx="2">
                  <c:v>1084</c:v>
                </c:pt>
              </c:numCache>
            </c:numRef>
          </c:val>
          <c:smooth val="0"/>
          <c:extLst>
            <c:ext xmlns:c16="http://schemas.microsoft.com/office/drawing/2014/chart" uri="{C3380CC4-5D6E-409C-BE32-E72D297353CC}">
              <c16:uniqueId val="{00000002-6AF8-4FA0-BE8B-DBD9EF563083}"/>
            </c:ext>
          </c:extLst>
        </c:ser>
        <c:dLbls>
          <c:showLegendKey val="0"/>
          <c:showVal val="0"/>
          <c:showCatName val="0"/>
          <c:showSerName val="0"/>
          <c:showPercent val="0"/>
          <c:showBubbleSize val="0"/>
        </c:dLbls>
        <c:marker val="1"/>
        <c:smooth val="0"/>
        <c:axId val="1922787984"/>
        <c:axId val="1748954512"/>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1748954512"/>
        <c:scaling>
          <c:orientation val="minMax"/>
        </c:scaling>
        <c:delete val="0"/>
        <c:axPos val="r"/>
        <c:numFmt formatCode="_ * #,##0_ ;_ * \-#,##0_ ;_ * &quot;-&quot;??_ ;_ @_ " sourceLinked="1"/>
        <c:majorTickMark val="out"/>
        <c:minorTickMark val="none"/>
        <c:tickLblPos val="nextTo"/>
        <c:txPr>
          <a:bodyPr/>
          <a:lstStyle/>
          <a:p>
            <a:pPr>
              <a:defRPr sz="1600"/>
            </a:pPr>
            <a:endParaRPr lang="en-US"/>
          </a:p>
        </c:txPr>
        <c:crossAx val="1922787984"/>
        <c:crosses val="max"/>
        <c:crossBetween val="between"/>
      </c:valAx>
      <c:catAx>
        <c:axId val="1922787984"/>
        <c:scaling>
          <c:orientation val="minMax"/>
        </c:scaling>
        <c:delete val="1"/>
        <c:axPos val="b"/>
        <c:numFmt formatCode="General" sourceLinked="1"/>
        <c:majorTickMark val="out"/>
        <c:minorTickMark val="none"/>
        <c:tickLblPos val="nextTo"/>
        <c:crossAx val="1748954512"/>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alpha val="94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合計</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合計</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318653</xdr:colOff>
      <xdr:row>58</xdr:row>
      <xdr:rowOff>17057</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736.408467939815" createdVersion="8" refreshedVersion="8" minRefreshableVersion="3" recordCount="26" xr:uid="{307037F0-6138-0347-A69C-EB923C7D0537}">
  <cacheSource type="worksheet">
    <worksheetSource ref="A1:E27" sheet="raw data_Region"/>
  </cacheSource>
  <cacheFields count="5">
    <cacheField name="数据年" numFmtId="179">
      <sharedItems containsSemiMixedTypes="0" containsString="0" containsNumber="1" containsInteger="1" minValue="2022" maxValue="2023" count="2">
        <n v="2023"/>
        <n v="2022"/>
      </sharedItems>
    </cacheField>
    <cacheField name="地區" numFmtId="14">
      <sharedItems count="5">
        <s v="NORTH"/>
        <s v="EAST"/>
        <s v="WEST"/>
        <s v="SOUTH"/>
        <s v="OTHER"/>
      </sharedItems>
    </cacheField>
    <cacheField name="主要进口省份" numFmtId="14">
      <sharedItems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 Chan" refreshedDate="45767.701284027775" createdVersion="8" refreshedVersion="8" minRefreshableVersion="3" recordCount="39" xr:uid="{46C3B069-3CF6-460D-ACAF-0F80FC0BC90A}">
  <cacheSource type="worksheet">
    <worksheetSource name="表1"/>
  </cacheSource>
  <cacheFields count="9">
    <cacheField name="数据年月" numFmtId="14">
      <sharedItems containsSemiMixedTypes="0" containsNonDate="0" containsDate="1" containsString="0" minDate="2022-01-01T00:00:00" maxDate="2025-03-02T00:00:00" count="39">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78">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0">
      <sharedItems containsSemiMixedTypes="0" containsString="0" containsNumber="1" containsInteger="1" minValue="2022" maxValue="2025"/>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5-03-02T00:00:00"/>
        <groupItems count="14">
          <s v="&lt;1/1/2022"/>
          <s v="1月"/>
          <s v="2月"/>
          <s v="3月"/>
          <s v="4月"/>
          <s v="5月"/>
          <s v="6月"/>
          <s v="7月"/>
          <s v="8月"/>
          <s v="9月"/>
          <s v="10月"/>
          <s v="11月"/>
          <s v="12月"/>
          <s v="&gt;2/3/2025"/>
        </groupItems>
      </fieldGroup>
    </cacheField>
    <cacheField name="Years (数据年月)" numFmtId="0" databaseField="0">
      <fieldGroup base="0">
        <rangePr groupBy="years" startDate="2022-01-01T00:00:00" endDate="2025-03-02T00:00:00"/>
        <groupItems count="6">
          <s v="&lt;1/1/2022"/>
          <s v="2022年"/>
          <s v="2023年"/>
          <s v="2024年"/>
          <s v="2025年"/>
          <s v="&gt;2/3/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r>
    <x v="34"/>
    <n v="84798962"/>
    <s v="MOUNTER"/>
    <n v="1039"/>
    <n v="766911970"/>
    <n v="2024"/>
    <n v="11"/>
  </r>
  <r>
    <x v="35"/>
    <n v="84798962"/>
    <s v="MOUNTER"/>
    <n v="1129"/>
    <n v="876303934"/>
    <n v="2024"/>
    <n v="12"/>
  </r>
  <r>
    <x v="36"/>
    <n v="84798962"/>
    <s v="MOUNTER"/>
    <n v="1084"/>
    <n v="806533266"/>
    <n v="2025"/>
    <n v="1"/>
  </r>
  <r>
    <x v="37"/>
    <n v="84798962"/>
    <s v="MOUNTER"/>
    <n v="1094"/>
    <n v="724727768"/>
    <n v="2025"/>
    <n v="2"/>
  </r>
  <r>
    <x v="38"/>
    <n v="84798962"/>
    <s v="MOUNTER"/>
    <n v="1084"/>
    <n v="776024651"/>
    <n v="2025"/>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9"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46">
  <location ref="I1:S16" firstHeaderRow="1" firstDataRow="3" firstDataCol="1"/>
  <pivotFields count="9">
    <pivotField compact="0" numFmtId="14" outline="0" showAl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7">
        <item x="0"/>
        <item x="1"/>
        <item x="2"/>
        <item x="3"/>
        <item x="4"/>
        <item x="5"/>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10">
    <i>
      <x v="1"/>
      <x/>
    </i>
    <i r="1" i="1">
      <x v="1"/>
    </i>
    <i>
      <x v="2"/>
      <x/>
    </i>
    <i r="1" i="1">
      <x v="1"/>
    </i>
    <i>
      <x v="3"/>
      <x/>
    </i>
    <i r="1" i="1">
      <x v="1"/>
    </i>
    <i>
      <x v="4"/>
      <x/>
    </i>
    <i r="1" i="1">
      <x v="1"/>
    </i>
    <i t="grand">
      <x/>
    </i>
    <i t="grand" i="1">
      <x/>
    </i>
  </colItems>
  <dataFields count="2">
    <dataField name="Sum of 进口金额（人民币）" fld="4" baseField="0" baseItem="0"/>
    <dataField name="Sum of 台数" fld="3" baseField="0" baseItem="0"/>
  </dataFields>
  <formats count="2">
    <format dxfId="12">
      <pivotArea outline="0" collapsedLevelsAreSubtotals="1" fieldPosition="0"/>
    </format>
    <format dxfId="11">
      <pivotArea dataOnly="0" outline="0" fieldPosition="0">
        <references count="1">
          <reference field="8" count="0" defaultSubtotal="1"/>
        </references>
      </pivotArea>
    </format>
  </formats>
  <chartFormats count="8">
    <chartFormat chart="52" format="141" series="1">
      <pivotArea type="data" outline="0" fieldPosition="0">
        <references count="2">
          <reference field="4294967294" count="1" selected="0">
            <x v="0"/>
          </reference>
          <reference field="8" count="1" selected="0">
            <x v="1"/>
          </reference>
        </references>
      </pivotArea>
    </chartFormat>
    <chartFormat chart="52" format="142" series="1">
      <pivotArea type="data" outline="0" fieldPosition="0">
        <references count="2">
          <reference field="4294967294" count="1" selected="0">
            <x v="0"/>
          </reference>
          <reference field="8" count="1" selected="0">
            <x v="2"/>
          </reference>
        </references>
      </pivotArea>
    </chartFormat>
    <chartFormat chart="52" format="143" series="1">
      <pivotArea type="data" outline="0" fieldPosition="0">
        <references count="2">
          <reference field="4294967294" count="1" selected="0">
            <x v="0"/>
          </reference>
          <reference field="8" count="1" selected="0">
            <x v="3"/>
          </reference>
        </references>
      </pivotArea>
    </chartFormat>
    <chartFormat chart="52" format="144" series="1">
      <pivotArea type="data" outline="0" fieldPosition="0">
        <references count="2">
          <reference field="4294967294" count="1" selected="0">
            <x v="0"/>
          </reference>
          <reference field="8" count="1" selected="0">
            <x v="4"/>
          </reference>
        </references>
      </pivotArea>
    </chartFormat>
    <chartFormat chart="52" format="145" series="1">
      <pivotArea type="data" outline="0" fieldPosition="0">
        <references count="2">
          <reference field="4294967294" count="1" selected="0">
            <x v="1"/>
          </reference>
          <reference field="8" count="1" selected="0">
            <x v="1"/>
          </reference>
        </references>
      </pivotArea>
    </chartFormat>
    <chartFormat chart="52" format="146" series="1">
      <pivotArea type="data" outline="0" fieldPosition="0">
        <references count="2">
          <reference field="4294967294" count="1" selected="0">
            <x v="1"/>
          </reference>
          <reference field="8" count="1" selected="0">
            <x v="2"/>
          </reference>
        </references>
      </pivotArea>
    </chartFormat>
    <chartFormat chart="52" format="147" series="1">
      <pivotArea type="data" outline="0" fieldPosition="0">
        <references count="2">
          <reference field="4294967294" count="1" selected="0">
            <x v="1"/>
          </reference>
          <reference field="8" count="1" selected="0">
            <x v="3"/>
          </reference>
        </references>
      </pivotArea>
    </chartFormat>
    <chartFormat chart="52" format="148" series="1">
      <pivotArea type="data" outline="0" fieldPosition="0">
        <references count="2">
          <reference field="4294967294" count="1" selected="0">
            <x v="1"/>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79"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79"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79"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79"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40" totalsRowShown="0" headerRowDxfId="10" headerRowBorderDxfId="9" tableBorderDxfId="8" totalsRowBorderDxfId="7">
  <autoFilter ref="A1:G40" xr:uid="{0CC1F88B-3AC7-4F1B-8523-65FE854EB900}"/>
  <tableColumns count="7">
    <tableColumn id="1" xr3:uid="{DF0CB27A-5837-454C-B2DD-277775B6FA27}" name="数据年月" dataDxfId="6"/>
    <tableColumn id="2" xr3:uid="{BBEF57B6-BB8E-4B33-B6D1-8C2B401258F8}" name="商品编码" dataDxfId="5"/>
    <tableColumn id="3" xr3:uid="{D64BEBF6-D119-4CFD-839D-38892BC0D487}" name="商品名称" dataDxfId="4"/>
    <tableColumn id="4" xr3:uid="{307A61F8-2A12-4B20-A298-D58137A26462}" name="台数" dataDxfId="3"/>
    <tableColumn id="5" xr3:uid="{5FC44820-A4EE-4F31-A470-B10DD164594B}" name="进口金额（人民币）" dataDxfId="2"/>
    <tableColumn id="6" xr3:uid="{D7618A53-7001-924E-9E58-7CCDC758631D}" name="YEAR" dataDxfId="1">
      <calculatedColumnFormula>YEAR(A2)</calculatedColumnFormula>
    </tableColumn>
    <tableColumn id="7" xr3:uid="{0CF9C6EE-3553-F744-9543-7A942BFDBB3C}" name="MONTH" dataDxfId="0">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AA6AA-F496-AD46-B845-16C0D9E65ECD}">
  <sheetPr codeName="Sheet5">
    <tabColor rgb="FF00B0F0"/>
  </sheetPr>
  <dimension ref="Q1"/>
  <sheetViews>
    <sheetView zoomScale="90" zoomScaleNormal="90" workbookViewId="0">
      <selection activeCell="B37" sqref="B37"/>
    </sheetView>
  </sheetViews>
  <sheetFormatPr baseColWidth="10" defaultColWidth="9" defaultRowHeight="14"/>
  <cols>
    <col min="1" max="1" width="41.796875" bestFit="1" customWidth="1"/>
    <col min="2" max="3" width="20.3984375" bestFit="1" customWidth="1"/>
    <col min="4" max="4" width="11.3984375" bestFit="1" customWidth="1"/>
    <col min="5" max="5" width="30.59765625" bestFit="1" customWidth="1"/>
    <col min="6" max="6" width="30.796875" customWidth="1"/>
    <col min="7" max="8" width="20.3984375" bestFit="1" customWidth="1"/>
    <col min="9" max="9" width="15.59765625" bestFit="1" customWidth="1"/>
    <col min="10" max="10" width="30.59765625" bestFit="1" customWidth="1"/>
    <col min="11" max="11" width="9" customWidth="1"/>
  </cols>
  <sheetData>
    <row r="1" spans="17:17" ht="15">
      <c r="Q1" s="15" t="s">
        <v>0</v>
      </c>
    </row>
  </sheetData>
  <phoneticPr fontId="7" type="noConversion"/>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Q1"/>
  <sheetViews>
    <sheetView topLeftCell="A14" zoomScale="90" zoomScaleNormal="90" workbookViewId="0">
      <selection activeCell="J64" sqref="J64"/>
    </sheetView>
  </sheetViews>
  <sheetFormatPr baseColWidth="10" defaultColWidth="9" defaultRowHeight="14"/>
  <cols>
    <col min="1" max="1" width="41.796875" bestFit="1" customWidth="1"/>
    <col min="2" max="3" width="20.3984375" bestFit="1" customWidth="1"/>
    <col min="4" max="4" width="11.3984375" bestFit="1" customWidth="1"/>
    <col min="5" max="5" width="30.59765625" bestFit="1" customWidth="1"/>
    <col min="6" max="6" width="30.796875" customWidth="1"/>
    <col min="7" max="8" width="20.3984375" bestFit="1" customWidth="1"/>
    <col min="9" max="9" width="15.59765625" bestFit="1" customWidth="1"/>
    <col min="10" max="10" width="30.59765625" bestFit="1" customWidth="1"/>
    <col min="11" max="11" width="9" customWidth="1"/>
  </cols>
  <sheetData>
    <row r="1" spans="17:17" ht="15">
      <c r="Q1" s="15" t="s">
        <v>0</v>
      </c>
    </row>
  </sheetData>
  <phoneticPr fontId="1" type="noConversion"/>
  <pageMargins left="0.7" right="0.7" top="0.75" bottom="0.75" header="0.3" footer="0.3"/>
  <pageSetup paperSize="9"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abSelected="1" topLeftCell="E1" zoomScale="55" zoomScaleNormal="55" workbookViewId="0">
      <selection activeCell="AE29" sqref="AE29"/>
    </sheetView>
  </sheetViews>
  <sheetFormatPr baseColWidth="10" defaultColWidth="11.59765625" defaultRowHeight="14"/>
  <sheetData>
    <row r="2" spans="30:30" ht="27">
      <c r="AD2" s="24"/>
    </row>
    <row r="39" spans="30:30" ht="27">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S40"/>
  <sheetViews>
    <sheetView topLeftCell="A20" zoomScale="120" zoomScaleNormal="120" workbookViewId="0">
      <selection activeCell="H35" sqref="H35"/>
    </sheetView>
  </sheetViews>
  <sheetFormatPr baseColWidth="10" defaultColWidth="9" defaultRowHeight="14"/>
  <cols>
    <col min="1" max="3" width="13.3984375" bestFit="1" customWidth="1"/>
    <col min="5" max="5" width="23.59765625" bestFit="1" customWidth="1"/>
    <col min="6" max="7" width="23.59765625" style="27" customWidth="1"/>
    <col min="9" max="9" width="23" bestFit="1" customWidth="1"/>
    <col min="10" max="17" width="31" bestFit="1" customWidth="1"/>
    <col min="18" max="18" width="39.19921875" bestFit="1" customWidth="1"/>
    <col min="19" max="19" width="21.59765625" bestFit="1" customWidth="1"/>
  </cols>
  <sheetData>
    <row r="1" spans="1:19">
      <c r="A1" s="5" t="s">
        <v>1</v>
      </c>
      <c r="B1" s="6" t="s">
        <v>2</v>
      </c>
      <c r="C1" s="6" t="s">
        <v>3</v>
      </c>
      <c r="D1" s="6" t="s">
        <v>11</v>
      </c>
      <c r="E1" s="7" t="s">
        <v>12</v>
      </c>
      <c r="F1" s="25" t="s">
        <v>65</v>
      </c>
      <c r="G1" s="26" t="s">
        <v>66</v>
      </c>
      <c r="J1" s="11" t="s">
        <v>4</v>
      </c>
      <c r="K1" s="11" t="s">
        <v>5</v>
      </c>
    </row>
    <row r="2" spans="1:19">
      <c r="A2" s="14">
        <v>44562</v>
      </c>
      <c r="B2" s="2">
        <v>84798962</v>
      </c>
      <c r="C2" s="1" t="s">
        <v>6</v>
      </c>
      <c r="D2" s="12">
        <v>1273</v>
      </c>
      <c r="E2" s="12">
        <v>1133836205</v>
      </c>
      <c r="F2" s="28">
        <f>YEAR(A2)</f>
        <v>2022</v>
      </c>
      <c r="G2" s="28">
        <f>MONTH(A2)</f>
        <v>1</v>
      </c>
      <c r="J2" t="s">
        <v>69</v>
      </c>
      <c r="L2" t="s">
        <v>70</v>
      </c>
      <c r="N2" t="s">
        <v>71</v>
      </c>
      <c r="P2" t="s">
        <v>72</v>
      </c>
      <c r="R2" t="s">
        <v>73</v>
      </c>
      <c r="S2" t="s">
        <v>74</v>
      </c>
    </row>
    <row r="3" spans="1:19">
      <c r="A3" s="14">
        <v>44593</v>
      </c>
      <c r="B3" s="2">
        <v>84798962</v>
      </c>
      <c r="C3" s="1" t="s">
        <v>6</v>
      </c>
      <c r="D3" s="12">
        <v>790</v>
      </c>
      <c r="E3" s="12">
        <v>671909522</v>
      </c>
      <c r="F3" s="28">
        <f t="shared" ref="F3:F38" si="0">YEAR(A3)</f>
        <v>2022</v>
      </c>
      <c r="G3" s="28">
        <f t="shared" ref="G3:G28" si="1">MONTH(A3)</f>
        <v>2</v>
      </c>
      <c r="I3" s="11" t="s">
        <v>7</v>
      </c>
      <c r="J3" t="s">
        <v>8</v>
      </c>
      <c r="K3" t="s">
        <v>9</v>
      </c>
      <c r="L3" t="s">
        <v>8</v>
      </c>
      <c r="M3" t="s">
        <v>9</v>
      </c>
      <c r="N3" t="s">
        <v>8</v>
      </c>
      <c r="O3" t="s">
        <v>9</v>
      </c>
      <c r="P3" t="s">
        <v>8</v>
      </c>
      <c r="Q3" t="s">
        <v>9</v>
      </c>
    </row>
    <row r="4" spans="1:19">
      <c r="A4" s="14">
        <v>44621</v>
      </c>
      <c r="B4" s="2">
        <v>84798962</v>
      </c>
      <c r="C4" s="1" t="s">
        <v>6</v>
      </c>
      <c r="D4" s="12">
        <v>1680</v>
      </c>
      <c r="E4" s="12">
        <v>1582113796</v>
      </c>
      <c r="F4" s="28">
        <f t="shared" si="0"/>
        <v>2022</v>
      </c>
      <c r="G4" s="28">
        <f t="shared" si="1"/>
        <v>3</v>
      </c>
      <c r="I4" t="s">
        <v>75</v>
      </c>
      <c r="J4" s="3">
        <v>1133836205</v>
      </c>
      <c r="K4" s="3">
        <v>1273</v>
      </c>
      <c r="L4" s="3">
        <v>563858633</v>
      </c>
      <c r="M4" s="3">
        <v>594</v>
      </c>
      <c r="N4" s="3">
        <v>684886046</v>
      </c>
      <c r="O4" s="3">
        <v>796</v>
      </c>
      <c r="P4" s="3">
        <v>806533266</v>
      </c>
      <c r="Q4" s="3">
        <v>1084</v>
      </c>
      <c r="R4" s="3">
        <v>3189114150</v>
      </c>
      <c r="S4" s="3">
        <v>3747</v>
      </c>
    </row>
    <row r="5" spans="1:19">
      <c r="A5" s="14">
        <v>44652</v>
      </c>
      <c r="B5" s="2">
        <v>84798962</v>
      </c>
      <c r="C5" s="1" t="s">
        <v>6</v>
      </c>
      <c r="D5" s="12">
        <v>1346</v>
      </c>
      <c r="E5" s="12">
        <v>1162237598</v>
      </c>
      <c r="F5" s="28">
        <f t="shared" si="0"/>
        <v>2022</v>
      </c>
      <c r="G5" s="28">
        <f t="shared" si="1"/>
        <v>4</v>
      </c>
      <c r="I5" t="s">
        <v>76</v>
      </c>
      <c r="J5" s="3">
        <v>671909522</v>
      </c>
      <c r="K5" s="3">
        <v>790</v>
      </c>
      <c r="L5" s="3">
        <v>626594515</v>
      </c>
      <c r="M5" s="3">
        <v>724</v>
      </c>
      <c r="N5" s="3">
        <v>425456191</v>
      </c>
      <c r="O5" s="3">
        <v>545</v>
      </c>
      <c r="P5" s="3">
        <v>724727768</v>
      </c>
      <c r="Q5" s="3">
        <v>1094</v>
      </c>
      <c r="R5" s="3">
        <v>2448687996</v>
      </c>
      <c r="S5" s="3">
        <v>3153</v>
      </c>
    </row>
    <row r="6" spans="1:19">
      <c r="A6" s="14">
        <v>44682</v>
      </c>
      <c r="B6" s="8">
        <v>84798962</v>
      </c>
      <c r="C6" s="9" t="s">
        <v>6</v>
      </c>
      <c r="D6" s="13">
        <v>1481</v>
      </c>
      <c r="E6" s="13">
        <v>1199261318</v>
      </c>
      <c r="F6" s="28">
        <f t="shared" si="0"/>
        <v>2022</v>
      </c>
      <c r="G6" s="28">
        <f t="shared" si="1"/>
        <v>5</v>
      </c>
      <c r="I6" t="s">
        <v>77</v>
      </c>
      <c r="J6" s="3">
        <v>1582113796</v>
      </c>
      <c r="K6" s="3">
        <v>1680</v>
      </c>
      <c r="L6" s="3">
        <v>902759832</v>
      </c>
      <c r="M6" s="3">
        <v>868</v>
      </c>
      <c r="N6" s="3">
        <v>790478375</v>
      </c>
      <c r="O6" s="3">
        <v>1067</v>
      </c>
      <c r="P6" s="3">
        <v>776024651</v>
      </c>
      <c r="Q6" s="3">
        <v>1084</v>
      </c>
      <c r="R6" s="3">
        <v>4051376654</v>
      </c>
      <c r="S6" s="3">
        <v>4699</v>
      </c>
    </row>
    <row r="7" spans="1:19">
      <c r="A7" s="14">
        <v>44713</v>
      </c>
      <c r="B7" s="8">
        <v>84798962</v>
      </c>
      <c r="C7" s="9" t="s">
        <v>6</v>
      </c>
      <c r="D7" s="13">
        <v>1813</v>
      </c>
      <c r="E7" s="13">
        <v>1507977751</v>
      </c>
      <c r="F7" s="28">
        <f t="shared" si="0"/>
        <v>2022</v>
      </c>
      <c r="G7" s="28">
        <f t="shared" si="1"/>
        <v>6</v>
      </c>
      <c r="I7" t="s">
        <v>78</v>
      </c>
      <c r="J7" s="3">
        <v>1162237598</v>
      </c>
      <c r="K7" s="3">
        <v>1346</v>
      </c>
      <c r="L7" s="3">
        <v>936167828</v>
      </c>
      <c r="M7" s="3">
        <v>1149</v>
      </c>
      <c r="N7" s="3">
        <v>987977571</v>
      </c>
      <c r="O7" s="3">
        <v>1307</v>
      </c>
      <c r="P7" s="3"/>
      <c r="Q7" s="3"/>
      <c r="R7" s="3">
        <v>3086382997</v>
      </c>
      <c r="S7" s="3">
        <v>3802</v>
      </c>
    </row>
    <row r="8" spans="1:19">
      <c r="A8" s="14">
        <v>44743</v>
      </c>
      <c r="B8" s="8">
        <v>84798962</v>
      </c>
      <c r="C8" s="9" t="s">
        <v>6</v>
      </c>
      <c r="D8" s="13">
        <v>1666</v>
      </c>
      <c r="E8" s="13">
        <v>1488653276</v>
      </c>
      <c r="F8" s="28">
        <f t="shared" si="0"/>
        <v>2022</v>
      </c>
      <c r="G8" s="28">
        <f t="shared" si="1"/>
        <v>7</v>
      </c>
      <c r="I8" t="s">
        <v>79</v>
      </c>
      <c r="J8" s="3">
        <v>1199261318</v>
      </c>
      <c r="K8" s="3">
        <v>1481</v>
      </c>
      <c r="L8" s="3">
        <v>784918762</v>
      </c>
      <c r="M8" s="3">
        <v>946</v>
      </c>
      <c r="N8" s="3">
        <v>906749498</v>
      </c>
      <c r="O8" s="3">
        <v>1166</v>
      </c>
      <c r="P8" s="3"/>
      <c r="Q8" s="3"/>
      <c r="R8" s="3">
        <v>2890929578</v>
      </c>
      <c r="S8" s="3">
        <v>3593</v>
      </c>
    </row>
    <row r="9" spans="1:19">
      <c r="A9" s="14">
        <v>44774</v>
      </c>
      <c r="B9" s="8">
        <v>84798962</v>
      </c>
      <c r="C9" s="9" t="s">
        <v>6</v>
      </c>
      <c r="D9" s="13">
        <v>1295</v>
      </c>
      <c r="E9" s="13">
        <v>1172752758</v>
      </c>
      <c r="F9" s="28">
        <f t="shared" si="0"/>
        <v>2022</v>
      </c>
      <c r="G9" s="28">
        <f t="shared" si="1"/>
        <v>8</v>
      </c>
      <c r="I9" t="s">
        <v>80</v>
      </c>
      <c r="J9" s="3">
        <v>1507977751</v>
      </c>
      <c r="K9" s="3">
        <v>1813</v>
      </c>
      <c r="L9" s="3">
        <v>990018684</v>
      </c>
      <c r="M9" s="3">
        <v>1029</v>
      </c>
      <c r="N9" s="3">
        <v>1060059842</v>
      </c>
      <c r="O9" s="3">
        <v>1241</v>
      </c>
      <c r="P9" s="3"/>
      <c r="Q9" s="3"/>
      <c r="R9" s="3">
        <v>3558056277</v>
      </c>
      <c r="S9" s="3">
        <v>4083</v>
      </c>
    </row>
    <row r="10" spans="1:19">
      <c r="A10" s="14">
        <v>44805</v>
      </c>
      <c r="B10" s="2">
        <v>84798962</v>
      </c>
      <c r="C10" s="1" t="s">
        <v>6</v>
      </c>
      <c r="D10" s="12">
        <v>1185</v>
      </c>
      <c r="E10" s="12">
        <v>1005090594</v>
      </c>
      <c r="F10" s="28">
        <f t="shared" si="0"/>
        <v>2022</v>
      </c>
      <c r="G10" s="28">
        <f t="shared" si="1"/>
        <v>9</v>
      </c>
      <c r="I10" t="s">
        <v>81</v>
      </c>
      <c r="J10" s="3">
        <v>1488653276</v>
      </c>
      <c r="K10" s="3">
        <v>1666</v>
      </c>
      <c r="L10" s="3">
        <v>753315739</v>
      </c>
      <c r="M10" s="3">
        <v>1075</v>
      </c>
      <c r="N10" s="3">
        <v>1067909971</v>
      </c>
      <c r="O10" s="3">
        <v>1522</v>
      </c>
      <c r="P10" s="3"/>
      <c r="Q10" s="3"/>
      <c r="R10" s="3">
        <v>3309878986</v>
      </c>
      <c r="S10" s="3">
        <v>4263</v>
      </c>
    </row>
    <row r="11" spans="1:19">
      <c r="A11" s="14">
        <v>44835</v>
      </c>
      <c r="B11" s="8">
        <v>84798962</v>
      </c>
      <c r="C11" s="9" t="s">
        <v>6</v>
      </c>
      <c r="D11" s="13">
        <v>983</v>
      </c>
      <c r="E11" s="13">
        <v>810326436</v>
      </c>
      <c r="F11" s="28">
        <f t="shared" si="0"/>
        <v>2022</v>
      </c>
      <c r="G11" s="28">
        <f t="shared" si="1"/>
        <v>10</v>
      </c>
      <c r="I11" t="s">
        <v>82</v>
      </c>
      <c r="J11" s="3">
        <v>1172752758</v>
      </c>
      <c r="K11" s="3">
        <v>1295</v>
      </c>
      <c r="L11" s="3">
        <v>725578936</v>
      </c>
      <c r="M11" s="3">
        <v>908</v>
      </c>
      <c r="N11" s="3">
        <v>798223277</v>
      </c>
      <c r="O11" s="3">
        <v>1061</v>
      </c>
      <c r="P11" s="3"/>
      <c r="Q11" s="3"/>
      <c r="R11" s="3">
        <v>2696554971</v>
      </c>
      <c r="S11" s="3">
        <v>3264</v>
      </c>
    </row>
    <row r="12" spans="1:19">
      <c r="A12" s="14">
        <v>44866</v>
      </c>
      <c r="B12" s="8">
        <v>84798962</v>
      </c>
      <c r="C12" s="1" t="s">
        <v>6</v>
      </c>
      <c r="D12" s="12">
        <v>996</v>
      </c>
      <c r="E12" s="12">
        <v>790435167</v>
      </c>
      <c r="F12" s="28">
        <f t="shared" si="0"/>
        <v>2022</v>
      </c>
      <c r="G12" s="28">
        <f t="shared" si="1"/>
        <v>11</v>
      </c>
      <c r="I12" t="s">
        <v>83</v>
      </c>
      <c r="J12" s="3">
        <v>1005090594</v>
      </c>
      <c r="K12" s="3">
        <v>1185</v>
      </c>
      <c r="L12" s="3">
        <v>603898236</v>
      </c>
      <c r="M12" s="3">
        <v>866</v>
      </c>
      <c r="N12" s="3">
        <v>815497182</v>
      </c>
      <c r="O12" s="3">
        <v>1130</v>
      </c>
      <c r="P12" s="3"/>
      <c r="Q12" s="3"/>
      <c r="R12" s="3">
        <v>2424486012</v>
      </c>
      <c r="S12" s="3">
        <v>3181</v>
      </c>
    </row>
    <row r="13" spans="1:19">
      <c r="A13" s="14">
        <v>44896</v>
      </c>
      <c r="B13" s="8">
        <v>84798962</v>
      </c>
      <c r="C13" s="1" t="s">
        <v>6</v>
      </c>
      <c r="D13" s="12">
        <v>937</v>
      </c>
      <c r="E13" s="12">
        <v>947867895</v>
      </c>
      <c r="F13" s="28">
        <f t="shared" si="0"/>
        <v>2022</v>
      </c>
      <c r="G13" s="28">
        <f t="shared" si="1"/>
        <v>12</v>
      </c>
      <c r="I13" t="s">
        <v>84</v>
      </c>
      <c r="J13" s="3">
        <v>810326436</v>
      </c>
      <c r="K13" s="3">
        <v>983</v>
      </c>
      <c r="L13" s="3">
        <v>691942839</v>
      </c>
      <c r="M13" s="3">
        <v>985</v>
      </c>
      <c r="N13" s="3">
        <v>858639426</v>
      </c>
      <c r="O13" s="3">
        <v>1092</v>
      </c>
      <c r="P13" s="3"/>
      <c r="Q13" s="3"/>
      <c r="R13" s="3">
        <v>2360908701</v>
      </c>
      <c r="S13" s="3">
        <v>3060</v>
      </c>
    </row>
    <row r="14" spans="1:19">
      <c r="A14" s="14">
        <v>44927</v>
      </c>
      <c r="B14" s="8">
        <v>84798962</v>
      </c>
      <c r="C14" s="1" t="s">
        <v>6</v>
      </c>
      <c r="D14" s="12">
        <v>594</v>
      </c>
      <c r="E14" s="4">
        <v>563858633</v>
      </c>
      <c r="F14" s="28">
        <f t="shared" si="0"/>
        <v>2023</v>
      </c>
      <c r="G14" s="28">
        <f t="shared" si="1"/>
        <v>1</v>
      </c>
      <c r="I14" t="s">
        <v>85</v>
      </c>
      <c r="J14" s="3">
        <v>790435167</v>
      </c>
      <c r="K14" s="3">
        <v>996</v>
      </c>
      <c r="L14" s="3">
        <v>601932850</v>
      </c>
      <c r="M14" s="3">
        <v>700</v>
      </c>
      <c r="N14" s="3">
        <v>766911970</v>
      </c>
      <c r="O14" s="3">
        <v>1039</v>
      </c>
      <c r="P14" s="3"/>
      <c r="Q14" s="3"/>
      <c r="R14" s="3">
        <v>2159279987</v>
      </c>
      <c r="S14" s="3">
        <v>2735</v>
      </c>
    </row>
    <row r="15" spans="1:19">
      <c r="A15" s="14">
        <v>44958</v>
      </c>
      <c r="B15" s="2">
        <v>84798962</v>
      </c>
      <c r="C15" s="1" t="s">
        <v>6</v>
      </c>
      <c r="D15" s="12">
        <v>724</v>
      </c>
      <c r="E15" s="4">
        <v>626594515</v>
      </c>
      <c r="F15" s="28">
        <f t="shared" si="0"/>
        <v>2023</v>
      </c>
      <c r="G15" s="28">
        <f t="shared" si="1"/>
        <v>2</v>
      </c>
      <c r="I15" t="s">
        <v>86</v>
      </c>
      <c r="J15" s="3">
        <v>947867895</v>
      </c>
      <c r="K15" s="3">
        <v>937</v>
      </c>
      <c r="L15" s="3">
        <v>848704871</v>
      </c>
      <c r="M15" s="3">
        <v>1017</v>
      </c>
      <c r="N15" s="3">
        <v>876303934</v>
      </c>
      <c r="O15" s="3">
        <v>1129</v>
      </c>
      <c r="P15" s="3"/>
      <c r="Q15" s="3"/>
      <c r="R15" s="3">
        <v>2672876700</v>
      </c>
      <c r="S15" s="3">
        <v>3083</v>
      </c>
    </row>
    <row r="16" spans="1:19">
      <c r="A16" s="14">
        <v>44986</v>
      </c>
      <c r="B16" s="2">
        <v>84798962</v>
      </c>
      <c r="C16" s="1" t="s">
        <v>6</v>
      </c>
      <c r="D16" s="12">
        <v>868</v>
      </c>
      <c r="E16" s="4">
        <v>902759832</v>
      </c>
      <c r="F16" s="28">
        <f t="shared" si="0"/>
        <v>2023</v>
      </c>
      <c r="G16" s="28">
        <f t="shared" si="1"/>
        <v>3</v>
      </c>
      <c r="I16" t="s">
        <v>87</v>
      </c>
      <c r="J16" s="3">
        <v>13472462316</v>
      </c>
      <c r="K16" s="3">
        <v>15445</v>
      </c>
      <c r="L16" s="3">
        <v>9029691725</v>
      </c>
      <c r="M16" s="3">
        <v>10861</v>
      </c>
      <c r="N16" s="3">
        <v>10039093283</v>
      </c>
      <c r="O16" s="3">
        <v>13095</v>
      </c>
      <c r="P16" s="3">
        <v>2307285685</v>
      </c>
      <c r="Q16" s="3">
        <v>3262</v>
      </c>
      <c r="R16" s="3">
        <v>34848533009</v>
      </c>
      <c r="S16" s="3">
        <v>42663</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8">
        <f t="shared" si="0"/>
        <v>2024</v>
      </c>
      <c r="G29" s="29">
        <f t="shared" ref="G29:G38" si="2">MONTH(A29)</f>
        <v>4</v>
      </c>
    </row>
    <row r="30" spans="1:7">
      <c r="A30" s="14">
        <v>45413</v>
      </c>
      <c r="B30" s="8">
        <v>84798962</v>
      </c>
      <c r="C30" s="9" t="s">
        <v>13</v>
      </c>
      <c r="D30" s="17">
        <v>1166</v>
      </c>
      <c r="E30" s="10">
        <v>906749498</v>
      </c>
      <c r="F30" s="28">
        <f t="shared" si="0"/>
        <v>2024</v>
      </c>
      <c r="G30" s="29">
        <f t="shared" si="2"/>
        <v>5</v>
      </c>
    </row>
    <row r="31" spans="1:7">
      <c r="A31" s="14">
        <v>45444</v>
      </c>
      <c r="B31" s="8">
        <v>84798962</v>
      </c>
      <c r="C31" s="9" t="s">
        <v>13</v>
      </c>
      <c r="D31" s="17">
        <v>1241</v>
      </c>
      <c r="E31" s="10">
        <v>1060059842</v>
      </c>
      <c r="F31" s="28">
        <f t="shared" si="0"/>
        <v>2024</v>
      </c>
      <c r="G31" s="29">
        <f t="shared" si="2"/>
        <v>6</v>
      </c>
    </row>
    <row r="32" spans="1:7">
      <c r="A32" s="14">
        <v>45474</v>
      </c>
      <c r="B32" s="8">
        <v>84798962</v>
      </c>
      <c r="C32" s="9" t="s">
        <v>13</v>
      </c>
      <c r="D32" s="17">
        <v>1522</v>
      </c>
      <c r="E32" s="10">
        <v>1067909971</v>
      </c>
      <c r="F32" s="28">
        <f t="shared" si="0"/>
        <v>2024</v>
      </c>
      <c r="G32" s="29">
        <f t="shared" si="2"/>
        <v>7</v>
      </c>
    </row>
    <row r="33" spans="1:7">
      <c r="A33" s="14">
        <v>45505</v>
      </c>
      <c r="B33" s="8">
        <v>84798962</v>
      </c>
      <c r="C33" s="9" t="s">
        <v>13</v>
      </c>
      <c r="D33" s="17">
        <v>1061</v>
      </c>
      <c r="E33" s="10">
        <v>798223277</v>
      </c>
      <c r="F33" s="28">
        <f t="shared" si="0"/>
        <v>2024</v>
      </c>
      <c r="G33" s="29">
        <f t="shared" si="2"/>
        <v>8</v>
      </c>
    </row>
    <row r="34" spans="1:7">
      <c r="A34" s="14">
        <v>45536</v>
      </c>
      <c r="B34" s="8">
        <v>84798962</v>
      </c>
      <c r="C34" s="9" t="s">
        <v>13</v>
      </c>
      <c r="D34" s="17">
        <v>1130</v>
      </c>
      <c r="E34" s="10">
        <v>815497182</v>
      </c>
      <c r="F34" s="28">
        <f t="shared" si="0"/>
        <v>2024</v>
      </c>
      <c r="G34" s="29">
        <f t="shared" si="2"/>
        <v>9</v>
      </c>
    </row>
    <row r="35" spans="1:7">
      <c r="A35" s="14">
        <v>45566</v>
      </c>
      <c r="B35" s="8">
        <v>84798962</v>
      </c>
      <c r="C35" s="9" t="s">
        <v>13</v>
      </c>
      <c r="D35" s="17">
        <v>1092</v>
      </c>
      <c r="E35" s="10">
        <v>858639426</v>
      </c>
      <c r="F35" s="28">
        <f t="shared" si="0"/>
        <v>2024</v>
      </c>
      <c r="G35" s="29">
        <f t="shared" si="2"/>
        <v>10</v>
      </c>
    </row>
    <row r="36" spans="1:7">
      <c r="A36" s="14">
        <v>45597</v>
      </c>
      <c r="B36" s="8">
        <v>84798962</v>
      </c>
      <c r="C36" s="9" t="s">
        <v>13</v>
      </c>
      <c r="D36" s="17">
        <v>1039</v>
      </c>
      <c r="E36" s="10">
        <v>766911970</v>
      </c>
      <c r="F36" s="28">
        <f t="shared" si="0"/>
        <v>2024</v>
      </c>
      <c r="G36" s="29">
        <f t="shared" si="2"/>
        <v>11</v>
      </c>
    </row>
    <row r="37" spans="1:7">
      <c r="A37" s="14">
        <v>45627</v>
      </c>
      <c r="B37" s="8">
        <v>84798962</v>
      </c>
      <c r="C37" s="9" t="s">
        <v>13</v>
      </c>
      <c r="D37" s="17">
        <v>1129</v>
      </c>
      <c r="E37" s="10">
        <v>876303934</v>
      </c>
      <c r="F37" s="28">
        <f t="shared" si="0"/>
        <v>2024</v>
      </c>
      <c r="G37" s="29">
        <f t="shared" si="2"/>
        <v>12</v>
      </c>
    </row>
    <row r="38" spans="1:7">
      <c r="A38" s="14">
        <v>45658</v>
      </c>
      <c r="B38" s="8">
        <v>84798962</v>
      </c>
      <c r="C38" s="9" t="s">
        <v>13</v>
      </c>
      <c r="D38" s="17">
        <v>1084</v>
      </c>
      <c r="E38" s="10">
        <v>806533266</v>
      </c>
      <c r="F38" s="28">
        <f t="shared" si="0"/>
        <v>2025</v>
      </c>
      <c r="G38" s="29">
        <f t="shared" si="2"/>
        <v>1</v>
      </c>
    </row>
    <row r="39" spans="1:7">
      <c r="A39" s="14">
        <v>45689</v>
      </c>
      <c r="B39" s="8">
        <v>84798962</v>
      </c>
      <c r="C39" s="9" t="s">
        <v>13</v>
      </c>
      <c r="D39" s="17">
        <v>1094</v>
      </c>
      <c r="E39" s="10">
        <v>724727768</v>
      </c>
      <c r="F39" s="28">
        <f t="shared" ref="F39" si="3">YEAR(A39)</f>
        <v>2025</v>
      </c>
      <c r="G39" s="29">
        <f t="shared" ref="G39" si="4">MONTH(A39)</f>
        <v>2</v>
      </c>
    </row>
    <row r="40" spans="1:7">
      <c r="A40" s="14">
        <v>45717</v>
      </c>
      <c r="B40" s="8">
        <v>84798962</v>
      </c>
      <c r="C40" s="9" t="s">
        <v>13</v>
      </c>
      <c r="D40" s="17">
        <v>1084</v>
      </c>
      <c r="E40" s="10">
        <v>776024651</v>
      </c>
      <c r="F40" s="28">
        <f t="shared" ref="F40" si="5">YEAR(A40)</f>
        <v>2025</v>
      </c>
      <c r="G40" s="29">
        <f t="shared" ref="G40" si="6">MONTH(A40)</f>
        <v>3</v>
      </c>
    </row>
  </sheetData>
  <phoneticPr fontId="5" type="noConversion"/>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baseColWidth="10" defaultColWidth="11.59765625" defaultRowHeight="14"/>
  <cols>
    <col min="1" max="1" width="11" style="22"/>
    <col min="2" max="2" width="9" style="23" bestFit="1" customWidth="1"/>
    <col min="3" max="3" width="19.19921875" style="23" bestFit="1" customWidth="1"/>
    <col min="4" max="4" width="14.3984375" bestFit="1" customWidth="1"/>
    <col min="7" max="7" width="20.19921875" bestFit="1" customWidth="1"/>
    <col min="8" max="8" width="7.19921875" bestFit="1" customWidth="1"/>
    <col min="9" max="9" width="6" bestFit="1" customWidth="1"/>
    <col min="10" max="13" width="7.19921875" bestFit="1" customWidth="1"/>
    <col min="14" max="14" width="10.796875" bestFit="1" customWidth="1"/>
    <col min="16" max="16" width="18" bestFit="1" customWidth="1"/>
    <col min="17" max="17" width="12.19921875" bestFit="1" customWidth="1"/>
    <col min="18" max="31" width="17.19921875" bestFit="1" customWidth="1"/>
    <col min="32" max="32" width="10.796875" bestFit="1" customWidth="1"/>
    <col min="33" max="33" width="13" bestFit="1" customWidth="1"/>
    <col min="34" max="34" width="12.19921875" bestFit="1" customWidth="1"/>
    <col min="35" max="35" width="14.3984375" bestFit="1" customWidth="1"/>
    <col min="36" max="36" width="7.398437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67</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67</v>
      </c>
    </row>
    <row r="4" spans="1:32">
      <c r="A4" s="22">
        <v>2023</v>
      </c>
      <c r="B4" s="23" t="s">
        <v>48</v>
      </c>
      <c r="C4" s="23" t="s">
        <v>23</v>
      </c>
      <c r="D4" t="s">
        <v>52</v>
      </c>
      <c r="E4">
        <v>1987</v>
      </c>
      <c r="G4" s="21">
        <v>2022</v>
      </c>
      <c r="H4" t="s">
        <v>51</v>
      </c>
      <c r="I4">
        <v>7943</v>
      </c>
      <c r="J4">
        <v>5675</v>
      </c>
      <c r="K4">
        <v>166</v>
      </c>
      <c r="L4">
        <v>260</v>
      </c>
      <c r="M4">
        <v>1403</v>
      </c>
      <c r="N4">
        <v>15447</v>
      </c>
      <c r="P4" s="21">
        <v>2022</v>
      </c>
      <c r="Q4" t="s">
        <v>51</v>
      </c>
      <c r="R4">
        <v>7943</v>
      </c>
      <c r="S4">
        <v>2896</v>
      </c>
      <c r="T4">
        <v>1732</v>
      </c>
      <c r="U4">
        <v>1403</v>
      </c>
      <c r="V4">
        <v>376</v>
      </c>
      <c r="X4">
        <v>301</v>
      </c>
      <c r="Y4">
        <v>159</v>
      </c>
      <c r="Z4">
        <v>153</v>
      </c>
      <c r="AA4">
        <v>129</v>
      </c>
      <c r="AB4">
        <v>82</v>
      </c>
      <c r="AC4">
        <v>121</v>
      </c>
      <c r="AD4">
        <v>107</v>
      </c>
      <c r="AE4">
        <v>45</v>
      </c>
      <c r="AF4">
        <v>15447</v>
      </c>
    </row>
    <row r="5" spans="1:32">
      <c r="A5" s="22">
        <v>2023</v>
      </c>
      <c r="B5" s="23" t="s">
        <v>48</v>
      </c>
      <c r="C5" s="23" t="s">
        <v>25</v>
      </c>
      <c r="D5" t="s">
        <v>52</v>
      </c>
      <c r="E5">
        <v>1147</v>
      </c>
      <c r="G5" s="21">
        <v>2023</v>
      </c>
      <c r="H5" t="s">
        <v>51</v>
      </c>
      <c r="I5">
        <v>6279</v>
      </c>
      <c r="J5">
        <v>3806</v>
      </c>
      <c r="K5">
        <v>53</v>
      </c>
      <c r="L5">
        <v>198</v>
      </c>
      <c r="M5">
        <v>524</v>
      </c>
      <c r="N5">
        <v>10860</v>
      </c>
      <c r="P5" s="21">
        <v>2023</v>
      </c>
      <c r="Q5" t="s">
        <v>51</v>
      </c>
      <c r="R5">
        <v>6279</v>
      </c>
      <c r="S5">
        <v>1987</v>
      </c>
      <c r="T5">
        <v>1147</v>
      </c>
      <c r="V5">
        <v>150</v>
      </c>
      <c r="W5">
        <v>524</v>
      </c>
      <c r="X5">
        <v>86</v>
      </c>
      <c r="Y5">
        <v>198</v>
      </c>
      <c r="Z5">
        <v>154</v>
      </c>
      <c r="AA5">
        <v>96</v>
      </c>
      <c r="AB5">
        <v>142</v>
      </c>
      <c r="AC5">
        <v>45</v>
      </c>
      <c r="AD5">
        <v>44</v>
      </c>
      <c r="AE5">
        <v>8</v>
      </c>
      <c r="AF5">
        <v>10860</v>
      </c>
    </row>
    <row r="6" spans="1:32">
      <c r="A6" s="22">
        <v>2023</v>
      </c>
      <c r="B6" s="23" t="s">
        <v>48</v>
      </c>
      <c r="C6" s="23" t="s">
        <v>27</v>
      </c>
      <c r="D6" t="s">
        <v>52</v>
      </c>
      <c r="E6">
        <v>150</v>
      </c>
      <c r="G6" s="21" t="s">
        <v>67</v>
      </c>
      <c r="I6">
        <v>14222</v>
      </c>
      <c r="J6">
        <v>9481</v>
      </c>
      <c r="K6">
        <v>219</v>
      </c>
      <c r="L6">
        <v>458</v>
      </c>
      <c r="M6">
        <v>1927</v>
      </c>
      <c r="N6">
        <v>26307</v>
      </c>
      <c r="P6" s="21" t="s">
        <v>67</v>
      </c>
      <c r="R6">
        <v>14222</v>
      </c>
      <c r="S6">
        <v>4883</v>
      </c>
      <c r="T6">
        <v>2879</v>
      </c>
      <c r="U6">
        <v>1403</v>
      </c>
      <c r="V6">
        <v>526</v>
      </c>
      <c r="W6">
        <v>524</v>
      </c>
      <c r="X6">
        <v>387</v>
      </c>
      <c r="Y6">
        <v>357</v>
      </c>
      <c r="Z6">
        <v>307</v>
      </c>
      <c r="AA6">
        <v>225</v>
      </c>
      <c r="AB6">
        <v>224</v>
      </c>
      <c r="AC6">
        <v>166</v>
      </c>
      <c r="AD6">
        <v>151</v>
      </c>
      <c r="AE6">
        <v>53</v>
      </c>
      <c r="AF6">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68</v>
      </c>
      <c r="P11" s="11" t="s">
        <v>14</v>
      </c>
      <c r="Q11" s="11" t="s">
        <v>56</v>
      </c>
      <c r="R11" t="s">
        <v>68</v>
      </c>
    </row>
    <row r="12" spans="1:32">
      <c r="A12" s="22">
        <v>2023</v>
      </c>
      <c r="B12" s="23" t="s">
        <v>46</v>
      </c>
      <c r="C12" s="23" t="s">
        <v>39</v>
      </c>
      <c r="D12" t="s">
        <v>52</v>
      </c>
      <c r="E12">
        <v>154</v>
      </c>
      <c r="G12" s="21">
        <v>2023</v>
      </c>
      <c r="H12" t="s">
        <v>43</v>
      </c>
      <c r="I12">
        <v>6279</v>
      </c>
      <c r="P12" s="21">
        <v>2023</v>
      </c>
      <c r="Q12" t="s">
        <v>40</v>
      </c>
      <c r="R12">
        <v>6279</v>
      </c>
    </row>
    <row r="13" spans="1:32">
      <c r="A13" s="22">
        <v>2023</v>
      </c>
      <c r="B13" s="23" t="s">
        <v>44</v>
      </c>
      <c r="C13" s="23" t="s">
        <v>41</v>
      </c>
      <c r="D13" t="s">
        <v>52</v>
      </c>
      <c r="E13">
        <v>6279</v>
      </c>
      <c r="H13" t="s">
        <v>47</v>
      </c>
      <c r="I13">
        <v>3806</v>
      </c>
      <c r="Q13" t="s">
        <v>22</v>
      </c>
      <c r="R13">
        <v>1987</v>
      </c>
    </row>
    <row r="14" spans="1:32">
      <c r="A14" s="22">
        <v>2023</v>
      </c>
      <c r="B14" s="23" t="s">
        <v>54</v>
      </c>
      <c r="C14" s="23" t="s">
        <v>64</v>
      </c>
      <c r="D14" t="s">
        <v>52</v>
      </c>
      <c r="E14">
        <v>524</v>
      </c>
      <c r="H14" t="s">
        <v>49</v>
      </c>
      <c r="I14">
        <v>53</v>
      </c>
      <c r="Q14" t="s">
        <v>24</v>
      </c>
      <c r="R14">
        <v>1147</v>
      </c>
    </row>
    <row r="15" spans="1:32">
      <c r="A15" s="22">
        <v>2022</v>
      </c>
      <c r="B15" s="23" t="s">
        <v>50</v>
      </c>
      <c r="C15" s="23" t="s">
        <v>19</v>
      </c>
      <c r="D15" t="s">
        <v>52</v>
      </c>
      <c r="E15">
        <v>121</v>
      </c>
      <c r="H15" t="s">
        <v>45</v>
      </c>
      <c r="I15">
        <v>198</v>
      </c>
      <c r="Q15" t="s">
        <v>64</v>
      </c>
      <c r="R15">
        <v>524</v>
      </c>
    </row>
    <row r="16" spans="1:32">
      <c r="A16" s="22">
        <v>2022</v>
      </c>
      <c r="B16" s="23" t="s">
        <v>50</v>
      </c>
      <c r="C16" s="23" t="s">
        <v>21</v>
      </c>
      <c r="D16" t="s">
        <v>52</v>
      </c>
      <c r="E16">
        <v>45</v>
      </c>
      <c r="H16" t="s">
        <v>53</v>
      </c>
      <c r="I16">
        <v>524</v>
      </c>
      <c r="Q16" t="s">
        <v>30</v>
      </c>
      <c r="R16">
        <v>198</v>
      </c>
    </row>
    <row r="17" spans="1:18">
      <c r="A17" s="22">
        <v>2022</v>
      </c>
      <c r="B17" s="23" t="s">
        <v>48</v>
      </c>
      <c r="C17" s="23" t="s">
        <v>23</v>
      </c>
      <c r="D17" t="s">
        <v>52</v>
      </c>
      <c r="E17">
        <v>2896</v>
      </c>
      <c r="G17" s="21" t="s">
        <v>67</v>
      </c>
      <c r="I17">
        <v>10860</v>
      </c>
      <c r="Q17" t="s">
        <v>38</v>
      </c>
      <c r="R17">
        <v>154</v>
      </c>
    </row>
    <row r="18" spans="1:18">
      <c r="A18" s="22">
        <v>2022</v>
      </c>
      <c r="B18" s="23" t="s">
        <v>48</v>
      </c>
      <c r="C18" s="23" t="s">
        <v>25</v>
      </c>
      <c r="D18" t="s">
        <v>52</v>
      </c>
      <c r="E18">
        <v>1732</v>
      </c>
      <c r="Q18" t="s">
        <v>26</v>
      </c>
      <c r="R18">
        <v>150</v>
      </c>
    </row>
    <row r="19" spans="1:18">
      <c r="A19" s="22">
        <v>2022</v>
      </c>
      <c r="B19" s="23" t="s">
        <v>48</v>
      </c>
      <c r="C19" s="23" t="s">
        <v>27</v>
      </c>
      <c r="D19" t="s">
        <v>52</v>
      </c>
      <c r="E19">
        <v>376</v>
      </c>
      <c r="Q19" t="s">
        <v>28</v>
      </c>
      <c r="R19">
        <v>142</v>
      </c>
    </row>
    <row r="20" spans="1:18">
      <c r="A20" s="22">
        <v>2022</v>
      </c>
      <c r="B20" s="23" t="s">
        <v>48</v>
      </c>
      <c r="C20" s="23" t="s">
        <v>29</v>
      </c>
      <c r="D20" t="s">
        <v>52</v>
      </c>
      <c r="E20">
        <v>82</v>
      </c>
      <c r="Q20" t="s">
        <v>32</v>
      </c>
      <c r="R20">
        <v>96</v>
      </c>
    </row>
    <row r="21" spans="1:18">
      <c r="A21" s="22">
        <v>2022</v>
      </c>
      <c r="B21" s="23" t="s">
        <v>48</v>
      </c>
      <c r="C21" s="23" t="s">
        <v>31</v>
      </c>
      <c r="D21" t="s">
        <v>52</v>
      </c>
      <c r="E21">
        <v>159</v>
      </c>
      <c r="Q21" t="s">
        <v>34</v>
      </c>
      <c r="R21">
        <v>86</v>
      </c>
    </row>
    <row r="22" spans="1:18">
      <c r="A22" s="22">
        <v>2022</v>
      </c>
      <c r="B22" s="23" t="s">
        <v>48</v>
      </c>
      <c r="C22" s="23" t="s">
        <v>33</v>
      </c>
      <c r="D22" t="s">
        <v>52</v>
      </c>
      <c r="E22">
        <v>129</v>
      </c>
      <c r="Q22" t="s">
        <v>18</v>
      </c>
      <c r="R22">
        <v>45</v>
      </c>
    </row>
    <row r="23" spans="1:18">
      <c r="A23" s="22">
        <v>2022</v>
      </c>
      <c r="B23" s="23" t="s">
        <v>48</v>
      </c>
      <c r="C23" s="23" t="s">
        <v>35</v>
      </c>
      <c r="D23" t="s">
        <v>52</v>
      </c>
      <c r="E23">
        <v>301</v>
      </c>
      <c r="Q23" t="s">
        <v>36</v>
      </c>
      <c r="R23">
        <v>44</v>
      </c>
    </row>
    <row r="24" spans="1:18">
      <c r="A24" s="22">
        <v>2022</v>
      </c>
      <c r="B24" s="23" t="s">
        <v>46</v>
      </c>
      <c r="C24" s="23" t="s">
        <v>37</v>
      </c>
      <c r="D24" t="s">
        <v>52</v>
      </c>
      <c r="E24">
        <v>107</v>
      </c>
      <c r="Q24" t="s">
        <v>20</v>
      </c>
      <c r="R24">
        <v>8</v>
      </c>
    </row>
    <row r="25" spans="1:18">
      <c r="A25" s="22">
        <v>2022</v>
      </c>
      <c r="B25" s="23" t="s">
        <v>46</v>
      </c>
      <c r="C25" s="23" t="s">
        <v>39</v>
      </c>
      <c r="D25" t="s">
        <v>52</v>
      </c>
      <c r="E25">
        <v>153</v>
      </c>
      <c r="P25" s="21" t="s">
        <v>67</v>
      </c>
      <c r="R25">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C281514-C9C5-4709-81CC-9AFF927FE8B7}">
  <ds:schemaRefs>
    <ds:schemaRef ds:uri="http://schemas.microsoft.com/office/2006/documentManagement/types"/>
    <ds:schemaRef ds:uri="http://purl.org/dc/terms/"/>
    <ds:schemaRef ds:uri="http://www.w3.org/XML/1998/namespace"/>
    <ds:schemaRef ds:uri="efa1766b-290e-4930-94b4-5079da17b09c"/>
    <ds:schemaRef ds:uri="http://schemas.microsoft.com/office/infopath/2007/PartnerControls"/>
    <ds:schemaRef ds:uri="http://purl.org/dc/elements/1.1/"/>
    <ds:schemaRef ds:uri="http://purl.org/dc/dcmitype/"/>
    <ds:schemaRef ds:uri="http://schemas.openxmlformats.org/package/2006/metadata/core-properties"/>
    <ds:schemaRef ds:uri="dcec4b07-66e7-4e8f-b2bb-0bd07e3b5177"/>
    <ds:schemaRef ds:uri="http://schemas.microsoft.com/office/2006/metadata/properties"/>
  </ds:schemaRefs>
</ds:datastoreItem>
</file>

<file path=customXml/itemProps2.xml><?xml version="1.0" encoding="utf-8"?>
<ds:datastoreItem xmlns:ds="http://schemas.openxmlformats.org/officeDocument/2006/customXml" ds:itemID="{74E3E345-357A-4B7D-86CD-73BE6C38C8D4}">
  <ds:schemaRefs>
    <ds:schemaRef ds:uri="http://schemas.microsoft.com/sharepoint/v3/contenttype/forms"/>
  </ds:schemaRefs>
</ds:datastoreItem>
</file>

<file path=customXml/itemProps3.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5</vt:i4>
      </vt:variant>
    </vt:vector>
  </HeadingPairs>
  <TitlesOfParts>
    <vt:vector size="5" baseType="lpstr">
      <vt:lpstr>Mounter_全国年度进口图 (2)</vt: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2025-04-20T08:52:07Z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